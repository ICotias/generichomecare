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Kanban" sheetId="2" state="visible" r:id="rId2"/>
    <sheet xmlns:r="http://schemas.openxmlformats.org/officeDocument/2006/relationships" name="Log" sheetId="3" state="visible" r:id="rId3"/>
    <sheet xmlns:r="http://schemas.openxmlformats.org/officeDocument/2006/relationships" name="Regras" sheetId="4" state="visible" r:id="rId4"/>
  </sheets>
  <definedNames>
    <definedName name="_xlnm._FilterDatabase" localSheetId="0" hidden="1">'Roadmap'!$A$4:$H$65</definedName>
    <definedName name="_xlnm._FilterDatabase" localSheetId="2" hidden="1">'Log'!$A$3:$E$20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293B"/>
      <sz val="14"/>
    </font>
    <font>
      <name val="Arial"/>
      <charset val="1"/>
      <family val="0"/>
      <i val="1"/>
      <color rgb="FF64748B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66534"/>
      <sz val="10"/>
    </font>
    <font>
      <name val="Arial"/>
      <charset val="1"/>
      <family val="0"/>
      <b val="1"/>
      <color rgb="FF1E40AF"/>
      <sz val="10"/>
    </font>
    <font>
      <name val="Arial"/>
      <charset val="1"/>
      <family val="0"/>
      <color rgb="FF64748B"/>
      <sz val="10"/>
    </font>
    <font>
      <name val="Arial"/>
      <charset val="1"/>
      <family val="0"/>
      <b val="1"/>
      <color rgb="FF1E293B"/>
      <sz val="16"/>
    </font>
    <font>
      <name val="Arial"/>
      <charset val="1"/>
      <family val="0"/>
      <b val="1"/>
      <color rgb="FF64748B"/>
      <sz val="12"/>
    </font>
    <font>
      <name val="Arial"/>
      <charset val="1"/>
      <family val="0"/>
      <b val="1"/>
      <color rgb="FF1E40AF"/>
      <sz val="12"/>
    </font>
    <font>
      <name val="Arial"/>
      <charset val="1"/>
      <family val="0"/>
      <b val="1"/>
      <color rgb="FF166534"/>
      <sz val="12"/>
    </font>
    <font>
      <name val="Arial"/>
      <charset val="1"/>
      <family val="0"/>
      <b val="1"/>
      <color rgb="FF64748B"/>
      <sz val="9"/>
    </font>
    <font>
      <name val="Arial"/>
      <b val="1"/>
      <color rgb="00166534"/>
      <sz val="10"/>
    </font>
  </fonts>
  <fills count="13">
    <fill>
      <patternFill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E0F2FE"/>
        <bgColor rgb="FFDBEAFE"/>
      </patternFill>
    </fill>
    <fill>
      <patternFill patternType="solid">
        <fgColor rgb="FFD1FAE5"/>
        <bgColor rgb="FFDCFCE7"/>
      </patternFill>
    </fill>
    <fill>
      <patternFill patternType="solid">
        <fgColor rgb="FFF3E8FF"/>
        <bgColor rgb="FFFDE8E8"/>
      </patternFill>
    </fill>
    <fill>
      <patternFill patternType="solid">
        <fgColor rgb="FFDBEAFE"/>
        <bgColor rgb="FFE2E8F0"/>
      </patternFill>
    </fill>
    <fill>
      <patternFill patternType="solid">
        <fgColor rgb="FFF1F5F9"/>
        <bgColor rgb="FFE0F2FE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DE8E8"/>
      </patternFill>
    </fill>
    <fill>
      <patternFill patternType="solid">
        <fgColor rgb="FFFFE4E6"/>
        <bgColor rgb="FFFDE8E8"/>
      </patternFill>
    </fill>
    <fill>
      <patternFill patternType="solid">
        <fgColor rgb="FFFDE8E8"/>
        <bgColor rgb="FFFFE4E6"/>
      </patternFill>
    </fill>
    <fill>
      <patternFill patternType="solid">
        <fgColor rgb="00D1FAE5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general" vertical="center" wrapText="1"/>
    </xf>
    <xf numFmtId="0" fontId="10" fillId="7" borderId="1" applyAlignment="1" pivotButton="0" quotePrefix="0" xfId="0">
      <alignment horizontal="general" vertical="center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general" vertical="center" wrapText="1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general" vertical="center" wrapText="1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general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center" wrapText="1"/>
    </xf>
    <xf numFmtId="0" fontId="16" fillId="12" borderId="1" applyAlignment="1" pivotButton="0" quotePrefix="0" xfId="0">
      <alignment horizontal="general" vertical="center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general" vertical="center" wrapText="1"/>
    </xf>
    <xf numFmtId="0" fontId="10" fillId="7" borderId="1" applyAlignment="1" pivotButton="0" quotePrefix="0" xfId="0">
      <alignment horizontal="general" vertical="center" wrapText="1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general" vertical="center" wrapText="1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general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13" fillId="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E293B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3E8FF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1E40AF"/>
          <bgColor rgb="FF000000"/>
        </patternFill>
      </fill>
    </dxf>
    <dxf>
      <fill>
        <patternFill patternType="solid">
          <fgColor rgb="FF64748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E2E8F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BEA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D1FAE5"/>
      <rgbColor rgb="FFFDE8E8"/>
      <rgbColor rgb="FFF3E8FF"/>
      <rgbColor rgb="FFF1F5F9"/>
      <rgbColor rgb="FFCC99FF"/>
      <rgbColor rgb="FFFFE4E6"/>
      <rgbColor rgb="FF2563EB"/>
      <rgbColor rgb="FF33CCCC"/>
      <rgbColor rgb="FF99CC00"/>
      <rgbColor rgb="FFFFCC00"/>
      <rgbColor rgb="FFF59E0B"/>
      <rgbColor rgb="FFEF4444"/>
      <rgbColor rgb="FF64748B"/>
      <rgbColor rgb="FF969696"/>
      <rgbColor rgb="FF003366"/>
      <rgbColor rgb="FF22C55E"/>
      <rgbColor rgb="FF003300"/>
      <rgbColor rgb="FF333300"/>
      <rgbColor rgb="FF993300"/>
      <rgbColor rgb="FF993366"/>
      <rgbColor rgb="FF1E40AF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S7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7" min="1" max="1"/>
    <col width="28" customWidth="1" style="27" min="2" max="2"/>
    <col width="45" customWidth="1" style="27" min="3" max="3"/>
    <col width="42" customWidth="1" style="27" min="4" max="4"/>
    <col width="14" customWidth="1" style="27" min="5" max="5"/>
    <col width="6" customWidth="1" style="27" min="6" max="6"/>
    <col width="12" customWidth="1" style="27" min="7" max="7"/>
    <col width="32" customWidth="1" style="27" min="8" max="8"/>
  </cols>
  <sheetData>
    <row r="1" ht="39.75" customHeight="1" s="28">
      <c r="A1" s="29" t="inlineStr">
        <is>
          <t>HomeCare App — Roadmap v2 (Telas primeiro, Features depois)</t>
        </is>
      </c>
    </row>
    <row r="2" ht="15" customHeight="1" s="28">
      <c r="A2" s="30" t="inlineStr">
        <is>
          <t>Atualizado em: 19/04/2026 — Estratégia: montar toda a arquitetura de telas e navegação antes de implementar lógica/features</t>
        </is>
      </c>
    </row>
    <row r="4" ht="30" customHeight="1" s="28">
      <c r="A4" s="31" t="inlineStr">
        <is>
          <t>ID</t>
        </is>
      </c>
      <c r="B4" s="31" t="inlineStr">
        <is>
          <t>Fase</t>
        </is>
      </c>
      <c r="C4" s="31" t="inlineStr">
        <is>
          <t>Título</t>
        </is>
      </c>
      <c r="D4" s="31" t="inlineStr">
        <is>
          <t>Done Criteria</t>
        </is>
      </c>
      <c r="E4" s="31" t="inlineStr">
        <is>
          <t>Status</t>
        </is>
      </c>
      <c r="F4" s="31" t="inlineStr">
        <is>
          <t>Pts</t>
        </is>
      </c>
      <c r="G4" s="31" t="inlineStr">
        <is>
          <t>Label</t>
        </is>
      </c>
      <c r="H4" s="31" t="inlineStr">
        <is>
          <t>Notas</t>
        </is>
      </c>
    </row>
    <row r="5" ht="15" customHeight="1" s="28">
      <c r="A5" s="32" t="inlineStr">
        <is>
          <t>GEN-40</t>
        </is>
      </c>
      <c r="B5" s="33" t="inlineStr">
        <is>
          <t>Fase 0 — Setup</t>
        </is>
      </c>
      <c r="C5" s="33" t="inlineStr">
        <is>
          <t>Criar projeto React Native (Expo)</t>
        </is>
      </c>
      <c r="D5" s="33" t="inlineStr">
        <is>
          <t>Projeto roda no emulador sem erros</t>
        </is>
      </c>
      <c r="E5" s="34" t="inlineStr">
        <is>
          <t>Done</t>
        </is>
      </c>
      <c r="F5" s="32" t="n">
        <v>2</v>
      </c>
      <c r="G5" s="33" t="inlineStr">
        <is>
          <t>Setup</t>
        </is>
      </c>
      <c r="H5" s="33" t="n"/>
    </row>
    <row r="6" ht="15" customHeight="1" s="28">
      <c r="A6" s="32" t="inlineStr">
        <is>
          <t>GEN-41</t>
        </is>
      </c>
      <c r="B6" s="33" t="inlineStr">
        <is>
          <t>Fase 0 — Setup</t>
        </is>
      </c>
      <c r="C6" s="33" t="inlineStr">
        <is>
          <t>Configurar Firebase JS SDK</t>
        </is>
      </c>
      <c r="D6" s="33" t="inlineStr">
        <is>
          <t>Auth + Firestore funcionando</t>
        </is>
      </c>
      <c r="E6" s="34" t="inlineStr">
        <is>
          <t>Done</t>
        </is>
      </c>
      <c r="F6" s="32" t="n">
        <v>2</v>
      </c>
      <c r="G6" s="33" t="inlineStr">
        <is>
          <t>Setup</t>
        </is>
      </c>
      <c r="H6" s="33" t="n"/>
    </row>
    <row r="7" ht="15" customHeight="1" s="28">
      <c r="A7" s="32" t="inlineStr">
        <is>
          <t>GEN-42</t>
        </is>
      </c>
      <c r="B7" s="33" t="inlineStr">
        <is>
          <t>Fase 0 — Setup</t>
        </is>
      </c>
      <c r="C7" s="33" t="inlineStr">
        <is>
          <t>Modelo de dados e Security Rules</t>
        </is>
      </c>
      <c r="D7" s="33" t="inlineStr">
        <is>
          <t>Types + Rules publicadas</t>
        </is>
      </c>
      <c r="E7" s="34" t="inlineStr">
        <is>
          <t>Done</t>
        </is>
      </c>
      <c r="F7" s="32" t="n">
        <v>3</v>
      </c>
      <c r="G7" s="33" t="inlineStr">
        <is>
          <t>Setup</t>
        </is>
      </c>
      <c r="H7" s="33" t="n"/>
    </row>
    <row r="8" ht="15" customHeight="1" s="28">
      <c r="A8" s="32" t="inlineStr">
        <is>
          <t>GEN-43</t>
        </is>
      </c>
      <c r="B8" s="33" t="inlineStr">
        <is>
          <t>Fase 0 — Setup</t>
        </is>
      </c>
      <c r="C8" s="33" t="inlineStr">
        <is>
          <t>CI/CD com GitHub Actions</t>
        </is>
      </c>
      <c r="D8" s="33" t="inlineStr">
        <is>
          <t>Lint + typecheck passam no push</t>
        </is>
      </c>
      <c r="E8" s="34" t="inlineStr">
        <is>
          <t>Done</t>
        </is>
      </c>
      <c r="F8" s="32" t="n">
        <v>1</v>
      </c>
      <c r="G8" s="33" t="inlineStr">
        <is>
          <t>Setup</t>
        </is>
      </c>
      <c r="H8" s="33" t="n"/>
    </row>
    <row r="9" ht="15" customHeight="1" s="28">
      <c r="A9" s="32" t="inlineStr">
        <is>
          <t>GEN-44</t>
        </is>
      </c>
      <c r="B9" s="33" t="inlineStr">
        <is>
          <t>Fase 0 — Setup</t>
        </is>
      </c>
      <c r="C9" s="33" t="inlineStr">
        <is>
          <t>Navegação + autenticação + Zustand</t>
        </is>
      </c>
      <c r="D9" s="33" t="inlineStr">
        <is>
          <t>Login redireciona por role</t>
        </is>
      </c>
      <c r="E9" s="34" t="inlineStr">
        <is>
          <t>Done</t>
        </is>
      </c>
      <c r="F9" s="32" t="n">
        <v>3</v>
      </c>
      <c r="G9" s="33" t="inlineStr">
        <is>
          <t>Setup</t>
        </is>
      </c>
      <c r="H9" s="33" t="n"/>
    </row>
    <row r="10" ht="15" customHeight="1" s="28">
      <c r="A10" s="32" t="inlineStr">
        <is>
          <t>GEN-76</t>
        </is>
      </c>
      <c r="B10" s="33" t="inlineStr">
        <is>
          <t>Fase 0 — Setup</t>
        </is>
      </c>
      <c r="C10" s="33" t="inlineStr">
        <is>
          <t>Setup inicial de empresa (admin onboarding)</t>
        </is>
      </c>
      <c r="D10" s="33" t="inlineStr">
        <is>
          <t>Admin sem empresaId cria empresa no 1º login</t>
        </is>
      </c>
      <c r="E10" s="34" t="inlineStr">
        <is>
          <t>Done</t>
        </is>
      </c>
      <c r="F10" s="32" t="n">
        <v>2</v>
      </c>
      <c r="G10" s="33" t="inlineStr">
        <is>
          <t>Admin</t>
        </is>
      </c>
      <c r="H10" s="33" t="inlineStr">
        <is>
          <t>Retroativa</t>
        </is>
      </c>
    </row>
    <row r="11" ht="15" customHeight="1" s="28">
      <c r="A11" s="32" t="inlineStr">
        <is>
          <t>GEN-77</t>
        </is>
      </c>
      <c r="B11" s="33" t="inlineStr">
        <is>
          <t>Fase 0 — Setup</t>
        </is>
      </c>
      <c r="C11" s="33" t="inlineStr">
        <is>
          <t>Simulador de roles (admin)</t>
        </is>
      </c>
      <c r="D11" s="33" t="inlineStr">
        <is>
          <t>Admin testa perfis sem mudar Firestore</t>
        </is>
      </c>
      <c r="E11" s="34" t="inlineStr">
        <is>
          <t>Done</t>
        </is>
      </c>
      <c r="F11" s="32" t="n">
        <v>2</v>
      </c>
      <c r="G11" s="33" t="inlineStr">
        <is>
          <t>Admin</t>
        </is>
      </c>
      <c r="H11" s="33" t="inlineStr">
        <is>
          <t>Retroativa</t>
        </is>
      </c>
    </row>
    <row r="12" ht="15" customHeight="1" s="28">
      <c r="A12" s="32" t="inlineStr">
        <is>
          <t>GEN-78</t>
        </is>
      </c>
      <c r="B12" s="33" t="inlineStr">
        <is>
          <t>Fase 0 — Setup</t>
        </is>
      </c>
      <c r="C12" s="33" t="inlineStr">
        <is>
          <t>Redesign Apple-like (Login, Checkin, Admin)</t>
        </is>
      </c>
      <c r="D12" s="33" t="inlineStr">
        <is>
          <t>Telas seguindo Apple HIG</t>
        </is>
      </c>
      <c r="E12" s="34" t="inlineStr">
        <is>
          <t>Done</t>
        </is>
      </c>
      <c r="F12" s="32" t="n">
        <v>3</v>
      </c>
      <c r="G12" s="33" t="inlineStr">
        <is>
          <t>Design</t>
        </is>
      </c>
      <c r="H12" s="33" t="inlineStr">
        <is>
          <t>Retroativa</t>
        </is>
      </c>
    </row>
    <row r="13" ht="15" customHeight="1" s="28">
      <c r="A13" s="32" t="inlineStr">
        <is>
          <t>GEN-79</t>
        </is>
      </c>
      <c r="B13" s="33" t="inlineStr">
        <is>
          <t>Fase 0 — Setup</t>
        </is>
      </c>
      <c r="C13" s="33" t="inlineStr">
        <is>
          <t>PasswordInput com toggle mostrar/ocultar</t>
        </is>
      </c>
      <c r="D13" s="33" t="inlineStr">
        <is>
          <t>Componente reutilizável shared</t>
        </is>
      </c>
      <c r="E13" s="34" t="inlineStr">
        <is>
          <t>Done</t>
        </is>
      </c>
      <c r="F13" s="32" t="n">
        <v>1</v>
      </c>
      <c r="G13" s="33" t="inlineStr">
        <is>
          <t>Design</t>
        </is>
      </c>
      <c r="H13" s="33" t="inlineStr">
        <is>
          <t>Retroativa</t>
        </is>
      </c>
    </row>
    <row r="14" ht="15" customHeight="1" s="28">
      <c r="A14" s="35" t="inlineStr">
        <is>
          <t>GEN-75</t>
        </is>
      </c>
      <c r="B14" s="36" t="inlineStr">
        <is>
          <t>Fase 1 — Telas &amp; Navegação</t>
        </is>
      </c>
      <c r="C14" s="36" t="inlineStr">
        <is>
          <t>Mapear IA: documento com todas as telas</t>
        </is>
      </c>
      <c r="D14" s="36" t="inlineStr">
        <is>
          <t>docs/screens.md aprovado</t>
        </is>
      </c>
      <c r="E14" s="37" t="inlineStr">
        <is>
          <t>Done</t>
        </is>
      </c>
      <c r="F14" s="35" t="n">
        <v>3</v>
      </c>
      <c r="G14" s="36" t="inlineStr">
        <is>
          <t>Design</t>
        </is>
      </c>
      <c r="H14" s="36" t="inlineStr">
        <is>
          <t>docs/screens.md + esqueletos + stacks/tabs</t>
        </is>
      </c>
    </row>
    <row r="15" ht="15" customHeight="1" s="28">
      <c r="A15" s="35" t="inlineStr">
        <is>
          <t>T1-01</t>
        </is>
      </c>
      <c r="B15" s="36" t="inlineStr">
        <is>
          <t>Fase 1 — Telas &amp; Navegação</t>
        </is>
      </c>
      <c r="C15" s="36" t="inlineStr">
        <is>
          <t>Esqueleto: NurseHomeScreen (lista pacientes)</t>
        </is>
      </c>
      <c r="D15" s="36" t="inlineStr">
        <is>
          <t>Tela com placeholder + FlatList vazia</t>
        </is>
      </c>
      <c r="E15" s="37" t="inlineStr">
        <is>
          <t>Done</t>
        </is>
      </c>
      <c r="F15" s="35" t="n">
        <v>1</v>
      </c>
      <c r="G15" s="36" t="inlineStr">
        <is>
          <t>Enfermeiro</t>
        </is>
      </c>
      <c r="H15" s="36" t="inlineStr">
        <is>
          <t>Esqueleto criado + nav ligada</t>
        </is>
      </c>
    </row>
    <row r="16" ht="15" customHeight="1" s="28">
      <c r="A16" s="35" t="inlineStr">
        <is>
          <t>T1-02</t>
        </is>
      </c>
      <c r="B16" s="36" t="inlineStr">
        <is>
          <t>Fase 1 — Telas &amp; Navegação</t>
        </is>
      </c>
      <c r="C16" s="36" t="inlineStr">
        <is>
          <t>Esqueleto: Registro de medicamentos</t>
        </is>
      </c>
      <c r="D16" s="36" t="inlineStr">
        <is>
          <t>Tela com form placeholder</t>
        </is>
      </c>
      <c r="E16" s="37" t="inlineStr">
        <is>
          <t>Done</t>
        </is>
      </c>
      <c r="F16" s="35" t="n">
        <v>1</v>
      </c>
      <c r="G16" s="36" t="inlineStr">
        <is>
          <t>Enfermeiro</t>
        </is>
      </c>
      <c r="H16" s="36" t="inlineStr">
        <is>
          <t>Esqueleto criado + nav ligada</t>
        </is>
      </c>
    </row>
    <row r="17" ht="15" customHeight="1" s="28">
      <c r="A17" s="35" t="inlineStr">
        <is>
          <t>T1-03</t>
        </is>
      </c>
      <c r="B17" s="36" t="inlineStr">
        <is>
          <t>Fase 1 — Telas &amp; Navegação</t>
        </is>
      </c>
      <c r="C17" s="36" t="inlineStr">
        <is>
          <t>Esqueleto: Registro de sinais vitais</t>
        </is>
      </c>
      <c r="D17" s="36" t="inlineStr">
        <is>
          <t>Tela com form placeholder</t>
        </is>
      </c>
      <c r="E17" s="37" t="inlineStr">
        <is>
          <t>Done</t>
        </is>
      </c>
      <c r="F17" s="35" t="n">
        <v>1</v>
      </c>
      <c r="G17" s="36" t="inlineStr">
        <is>
          <t>Enfermeiro</t>
        </is>
      </c>
      <c r="H17" s="36" t="inlineStr">
        <is>
          <t>Esqueleto criado + nav ligada</t>
        </is>
      </c>
    </row>
    <row r="18" ht="15" customHeight="1" s="28">
      <c r="A18" s="35" t="inlineStr">
        <is>
          <t>T1-04</t>
        </is>
      </c>
      <c r="B18" s="36" t="inlineStr">
        <is>
          <t>Fase 1 — Telas &amp; Navegação</t>
        </is>
      </c>
      <c r="C18" s="36" t="inlineStr">
        <is>
          <t>Esqueleto: Registro de alimentação</t>
        </is>
      </c>
      <c r="D18" s="36" t="inlineStr">
        <is>
          <t>Tela com form placeholder</t>
        </is>
      </c>
      <c r="E18" s="37" t="inlineStr">
        <is>
          <t>Done</t>
        </is>
      </c>
      <c r="F18" s="35" t="n">
        <v>1</v>
      </c>
      <c r="G18" s="36" t="inlineStr">
        <is>
          <t>Enfermeiro</t>
        </is>
      </c>
      <c r="H18" s="36" t="inlineStr">
        <is>
          <t>Esqueleto criado + nav ligada</t>
        </is>
      </c>
    </row>
    <row r="19" ht="15" customHeight="1" s="28">
      <c r="A19" s="35" t="inlineStr">
        <is>
          <t>T1-05</t>
        </is>
      </c>
      <c r="B19" s="36" t="inlineStr">
        <is>
          <t>Fase 1 — Telas &amp; Navegação</t>
        </is>
      </c>
      <c r="C19" s="36" t="inlineStr">
        <is>
          <t>Esqueleto: Registro de intercorrências</t>
        </is>
      </c>
      <c r="D19" s="36" t="inlineStr">
        <is>
          <t>Tela com form placeholder</t>
        </is>
      </c>
      <c r="E19" s="37" t="inlineStr">
        <is>
          <t>Done</t>
        </is>
      </c>
      <c r="F19" s="35" t="n">
        <v>1</v>
      </c>
      <c r="G19" s="36" t="inlineStr">
        <is>
          <t>Enfermeiro</t>
        </is>
      </c>
      <c r="H19" s="36" t="inlineStr">
        <is>
          <t>Esqueleto criado + nav ligada</t>
        </is>
      </c>
    </row>
    <row r="20" ht="15" customHeight="1" s="28">
      <c r="A20" s="35" t="inlineStr">
        <is>
          <t>T1-06</t>
        </is>
      </c>
      <c r="B20" s="36" t="inlineStr">
        <is>
          <t>Fase 1 — Telas &amp; Navegação</t>
        </is>
      </c>
      <c r="C20" s="36" t="inlineStr">
        <is>
          <t>Esqueleto: Registro de atividades/cuidados</t>
        </is>
      </c>
      <c r="D20" s="36" t="inlineStr">
        <is>
          <t>Tela com chips placeholder</t>
        </is>
      </c>
      <c r="E20" s="37" t="inlineStr">
        <is>
          <t>Done</t>
        </is>
      </c>
      <c r="F20" s="35" t="n">
        <v>1</v>
      </c>
      <c r="G20" s="36" t="inlineStr">
        <is>
          <t>Enfermeiro</t>
        </is>
      </c>
      <c r="H20" s="36" t="inlineStr">
        <is>
          <t>Esqueleto criado + nav ligada</t>
        </is>
      </c>
    </row>
    <row r="21" ht="15" customHeight="1" s="28">
      <c r="A21" s="35" t="inlineStr">
        <is>
          <t>T1-07</t>
        </is>
      </c>
      <c r="B21" s="36" t="inlineStr">
        <is>
          <t>Fase 1 — Telas &amp; Navegação</t>
        </is>
      </c>
      <c r="C21" s="36" t="inlineStr">
        <is>
          <t>Esqueleto: Registro fotográfico</t>
        </is>
      </c>
      <c r="D21" s="36" t="inlineStr">
        <is>
          <t>Tela com câmera placeholder</t>
        </is>
      </c>
      <c r="E21" s="37" t="inlineStr">
        <is>
          <t>Done</t>
        </is>
      </c>
      <c r="F21" s="35" t="n">
        <v>1</v>
      </c>
      <c r="G21" s="36" t="inlineStr">
        <is>
          <t>Enfermeiro</t>
        </is>
      </c>
      <c r="H21" s="36" t="inlineStr">
        <is>
          <t>Esqueleto criado + nav ligada</t>
        </is>
      </c>
    </row>
    <row r="22" ht="15" customHeight="1" s="28">
      <c r="A22" s="35" t="inlineStr">
        <is>
          <t>T1-08</t>
        </is>
      </c>
      <c r="B22" s="36" t="inlineStr">
        <is>
          <t>Fase 1 — Telas &amp; Navegação</t>
        </is>
      </c>
      <c r="C22" s="36" t="inlineStr">
        <is>
          <t>Esqueleto: Evolução / passagem de plantão</t>
        </is>
      </c>
      <c r="D22" s="36" t="inlineStr">
        <is>
          <t>Form SBAR placeholder</t>
        </is>
      </c>
      <c r="E22" s="37" t="inlineStr">
        <is>
          <t>Done</t>
        </is>
      </c>
      <c r="F22" s="35" t="n">
        <v>1</v>
      </c>
      <c r="G22" s="36" t="inlineStr">
        <is>
          <t>Enfermeiro</t>
        </is>
      </c>
      <c r="H22" s="36" t="inlineStr">
        <is>
          <t>Esqueleto criado + nav ligada</t>
        </is>
      </c>
    </row>
    <row r="23" ht="15" customHeight="1" s="28">
      <c r="A23" s="35" t="inlineStr">
        <is>
          <t>T1-09</t>
        </is>
      </c>
      <c r="B23" s="36" t="inlineStr">
        <is>
          <t>Fase 1 — Telas &amp; Navegação</t>
        </is>
      </c>
      <c r="C23" s="36" t="inlineStr">
        <is>
          <t>Esqueleto: Timeline do dia (família)</t>
        </is>
      </c>
      <c r="D23" s="36" t="inlineStr">
        <is>
          <t>FlatList cronológica placeholder</t>
        </is>
      </c>
      <c r="E23" s="37" t="inlineStr">
        <is>
          <t>Done</t>
        </is>
      </c>
      <c r="F23" s="35" t="n">
        <v>1</v>
      </c>
      <c r="G23" s="36" t="inlineStr">
        <is>
          <t>Família</t>
        </is>
      </c>
      <c r="H23" s="36" t="inlineStr">
        <is>
          <t>Esqueleto criado + nav ligada</t>
        </is>
      </c>
    </row>
    <row r="24" ht="15" customHeight="1" s="28">
      <c r="A24" s="35" t="inlineStr">
        <is>
          <t>T1-10</t>
        </is>
      </c>
      <c r="B24" s="36" t="inlineStr">
        <is>
          <t>Fase 1 — Telas &amp; Navegação</t>
        </is>
      </c>
      <c r="C24" s="36" t="inlineStr">
        <is>
          <t>Esqueleto: Dados do paciente (família)</t>
        </is>
      </c>
      <c r="D24" s="36" t="inlineStr">
        <is>
          <t>ScrollView placeholder</t>
        </is>
      </c>
      <c r="E24" s="37" t="inlineStr">
        <is>
          <t>Done</t>
        </is>
      </c>
      <c r="F24" s="35" t="n">
        <v>1</v>
      </c>
      <c r="G24" s="36" t="inlineStr">
        <is>
          <t>Família</t>
        </is>
      </c>
      <c r="H24" s="36" t="inlineStr">
        <is>
          <t>Esqueleto criado + nav ligada</t>
        </is>
      </c>
    </row>
    <row r="25" ht="15" customHeight="1" s="28">
      <c r="A25" s="35" t="inlineStr">
        <is>
          <t>T1-11</t>
        </is>
      </c>
      <c r="B25" s="36" t="inlineStr">
        <is>
          <t>Fase 1 — Telas &amp; Navegação</t>
        </is>
      </c>
      <c r="C25" s="36" t="inlineStr">
        <is>
          <t>Esqueleto: Histórico e filtros (família)</t>
        </is>
      </c>
      <c r="D25" s="36" t="inlineStr">
        <is>
          <t>Calendário + chips placeholder</t>
        </is>
      </c>
      <c r="E25" s="37" t="inlineStr">
        <is>
          <t>Done</t>
        </is>
      </c>
      <c r="F25" s="35" t="n">
        <v>1</v>
      </c>
      <c r="G25" s="36" t="inlineStr">
        <is>
          <t>Família</t>
        </is>
      </c>
      <c r="H25" s="36" t="inlineStr">
        <is>
          <t>Esqueleto criado + nav ligada</t>
        </is>
      </c>
    </row>
    <row r="26" ht="15" customHeight="1" s="28">
      <c r="A26" s="35" t="inlineStr">
        <is>
          <t>T1-12</t>
        </is>
      </c>
      <c r="B26" s="36" t="inlineStr">
        <is>
          <t>Fase 1 — Telas &amp; Navegação</t>
        </is>
      </c>
      <c r="C26" s="36" t="inlineStr">
        <is>
          <t>Esqueleto: Gráfico de sinais vitais (família)</t>
        </is>
      </c>
      <c r="D26" s="36" t="inlineStr">
        <is>
          <t>Chart placeholder</t>
        </is>
      </c>
      <c r="E26" s="37" t="inlineStr">
        <is>
          <t>Done</t>
        </is>
      </c>
      <c r="F26" s="35" t="n">
        <v>1</v>
      </c>
      <c r="G26" s="36" t="inlineStr">
        <is>
          <t>Família</t>
        </is>
      </c>
      <c r="H26" s="36" t="inlineStr">
        <is>
          <t>Esqueleto criado + nav ligada</t>
        </is>
      </c>
    </row>
    <row r="27" ht="15" customHeight="1" s="28">
      <c r="A27" s="35" t="inlineStr">
        <is>
          <t>T1-13</t>
        </is>
      </c>
      <c r="B27" s="36" t="inlineStr">
        <is>
          <t>Fase 1 — Telas &amp; Navegação</t>
        </is>
      </c>
      <c r="C27" s="36" t="inlineStr">
        <is>
          <t>Esqueleto: Cadastro de pacientes (admin)</t>
        </is>
      </c>
      <c r="D27" s="36" t="inlineStr">
        <is>
          <t>Form placeholder</t>
        </is>
      </c>
      <c r="E27" s="37" t="inlineStr">
        <is>
          <t>Done</t>
        </is>
      </c>
      <c r="F27" s="35" t="n">
        <v>1</v>
      </c>
      <c r="G27" s="36" t="inlineStr">
        <is>
          <t>Admin</t>
        </is>
      </c>
      <c r="H27" s="36" t="inlineStr">
        <is>
          <t>Esqueleto criado + nav ligada</t>
        </is>
      </c>
    </row>
    <row r="28" ht="15" customHeight="1" s="28">
      <c r="A28" s="35" t="inlineStr">
        <is>
          <t>T1-14</t>
        </is>
      </c>
      <c r="B28" s="36" t="inlineStr">
        <is>
          <t>Fase 1 — Telas &amp; Navegação</t>
        </is>
      </c>
      <c r="C28" s="36" t="inlineStr">
        <is>
          <t>Esqueleto: Cadastro de profissionais (admin)</t>
        </is>
      </c>
      <c r="D28" s="36" t="inlineStr">
        <is>
          <t>Form completo placeholder (campos clínicos)</t>
        </is>
      </c>
      <c r="E28" s="37" t="inlineStr">
        <is>
          <t>Done</t>
        </is>
      </c>
      <c r="F28" s="35" t="n">
        <v>1</v>
      </c>
      <c r="G28" s="36" t="inlineStr">
        <is>
          <t>Admin</t>
        </is>
      </c>
      <c r="H28" s="36" t="inlineStr">
        <is>
          <t>Esqueleto criado + nav ligada</t>
        </is>
      </c>
    </row>
    <row r="29" ht="15" customHeight="1" s="28">
      <c r="A29" s="35" t="inlineStr">
        <is>
          <t>T1-15</t>
        </is>
      </c>
      <c r="B29" s="36" t="inlineStr">
        <is>
          <t>Fase 1 — Telas &amp; Navegação</t>
        </is>
      </c>
      <c r="C29" s="36" t="inlineStr">
        <is>
          <t>Esqueleto: Vincular família ao paciente</t>
        </is>
      </c>
      <c r="D29" s="36" t="inlineStr">
        <is>
          <t>Form convite placeholder</t>
        </is>
      </c>
      <c r="E29" s="37" t="inlineStr">
        <is>
          <t>Done</t>
        </is>
      </c>
      <c r="F29" s="35" t="n">
        <v>1</v>
      </c>
      <c r="G29" s="36" t="inlineStr">
        <is>
          <t>Admin</t>
        </is>
      </c>
      <c r="H29" s="36" t="inlineStr">
        <is>
          <t>Esqueleto criado + nav ligada</t>
        </is>
      </c>
    </row>
    <row r="30" ht="15" customHeight="1" s="28">
      <c r="A30" s="35" t="inlineStr">
        <is>
          <t>T1-16</t>
        </is>
      </c>
      <c r="B30" s="36" t="inlineStr">
        <is>
          <t>Fase 1 — Telas &amp; Navegação</t>
        </is>
      </c>
      <c r="C30" s="36" t="inlineStr">
        <is>
          <t>Esqueleto: Gestão de escalas (admin)</t>
        </is>
      </c>
      <c r="D30" s="36" t="inlineStr">
        <is>
          <t>Grade semanal placeholder</t>
        </is>
      </c>
      <c r="E30" s="37" t="inlineStr">
        <is>
          <t>Done</t>
        </is>
      </c>
      <c r="F30" s="35" t="n">
        <v>1</v>
      </c>
      <c r="G30" s="36" t="inlineStr">
        <is>
          <t>Admin</t>
        </is>
      </c>
      <c r="H30" s="36" t="inlineStr">
        <is>
          <t>Esqueleto criado + nav ligada</t>
        </is>
      </c>
    </row>
    <row r="31" ht="15" customHeight="1" s="28">
      <c r="A31" s="35" t="inlineStr">
        <is>
          <t>T1-17</t>
        </is>
      </c>
      <c r="B31" s="36" t="inlineStr">
        <is>
          <t>Fase 1 — Telas &amp; Navegação</t>
        </is>
      </c>
      <c r="C31" s="36" t="inlineStr">
        <is>
          <t>Esqueleto: Dashboard operacional (admin)</t>
        </is>
      </c>
      <c r="D31" s="36" t="inlineStr">
        <is>
          <t>Cards placeholder</t>
        </is>
      </c>
      <c r="E31" s="37" t="inlineStr">
        <is>
          <t>Done</t>
        </is>
      </c>
      <c r="F31" s="35" t="n">
        <v>1</v>
      </c>
      <c r="G31" s="36" t="inlineStr">
        <is>
          <t>Admin</t>
        </is>
      </c>
      <c r="H31" s="36" t="inlineStr">
        <is>
          <t>Esqueleto criado + nav ligada</t>
        </is>
      </c>
    </row>
    <row r="32" ht="15" customHeight="1" s="28">
      <c r="A32" s="35" t="inlineStr">
        <is>
          <t>T1-18</t>
        </is>
      </c>
      <c r="B32" s="36" t="inlineStr">
        <is>
          <t>Fase 1 — Telas &amp; Navegação</t>
        </is>
      </c>
      <c r="C32" s="36" t="inlineStr">
        <is>
          <t>Esqueleto: Controle financeiro (admin)</t>
        </is>
      </c>
      <c r="D32" s="36" t="inlineStr">
        <is>
          <t>Resumo mensal placeholder</t>
        </is>
      </c>
      <c r="E32" s="37" t="inlineStr">
        <is>
          <t>Done</t>
        </is>
      </c>
      <c r="F32" s="35" t="n">
        <v>1</v>
      </c>
      <c r="G32" s="36" t="inlineStr">
        <is>
          <t>Admin</t>
        </is>
      </c>
      <c r="H32" s="36" t="inlineStr">
        <is>
          <t>Esqueleto criado + nav ligada</t>
        </is>
      </c>
    </row>
    <row r="33" ht="15" customHeight="1" s="28">
      <c r="A33" s="35" t="inlineStr">
        <is>
          <t>T1-19</t>
        </is>
      </c>
      <c r="B33" s="36" t="inlineStr">
        <is>
          <t>Fase 1 — Telas &amp; Navegação</t>
        </is>
      </c>
      <c r="C33" s="36" t="inlineStr">
        <is>
          <t>Esqueleto: Exportar relatório (admin)</t>
        </is>
      </c>
      <c r="D33" s="36" t="inlineStr">
        <is>
          <t>Botão share placeholder</t>
        </is>
      </c>
      <c r="E33" s="37" t="inlineStr">
        <is>
          <t>Done</t>
        </is>
      </c>
      <c r="F33" s="35" t="n">
        <v>1</v>
      </c>
      <c r="G33" s="36" t="inlineStr">
        <is>
          <t>Admin</t>
        </is>
      </c>
      <c r="H33" s="36" t="inlineStr">
        <is>
          <t>Esqueleto criado + nav ligada</t>
        </is>
      </c>
    </row>
    <row r="34" ht="15" customHeight="1" s="28">
      <c r="A34" s="35" t="inlineStr">
        <is>
          <t>T1-20</t>
        </is>
      </c>
      <c r="B34" s="36" t="inlineStr">
        <is>
          <t>Fase 1 — Telas &amp; Navegação</t>
        </is>
      </c>
      <c r="C34" s="36" t="inlineStr">
        <is>
          <t>Montar Stacks/Tabs completos (3 perfis)</t>
        </is>
      </c>
      <c r="D34" s="36" t="inlineStr">
        <is>
          <t>Navegação completa ligada e funcional</t>
        </is>
      </c>
      <c r="E34" s="37" t="inlineStr">
        <is>
          <t>Done</t>
        </is>
      </c>
      <c r="F34" s="35" t="n">
        <v>3</v>
      </c>
      <c r="G34" s="36" t="inlineStr">
        <is>
          <t>Design</t>
        </is>
      </c>
      <c r="H34" s="36" t="inlineStr">
        <is>
          <t>Esqueleto criado + nav ligada</t>
        </is>
      </c>
    </row>
    <row r="35" ht="15" customHeight="1" s="28">
      <c r="A35" s="38" t="inlineStr">
        <is>
          <t>GEN-45</t>
        </is>
      </c>
      <c r="B35" s="39" t="inlineStr">
        <is>
          <t>Fase 2 — Features Enfermeiro</t>
        </is>
      </c>
      <c r="C35" s="39" t="inlineStr">
        <is>
          <t>Checkin/checkout com GPS (lógica)</t>
        </is>
      </c>
      <c r="D35" s="39" t="inlineStr">
        <is>
          <t>Salva no Firestore com GPS</t>
        </is>
      </c>
      <c r="E35" s="40" t="inlineStr">
        <is>
          <t>Done</t>
        </is>
      </c>
      <c r="F35" s="38" t="n">
        <v>3</v>
      </c>
      <c r="G35" s="39" t="inlineStr">
        <is>
          <t>Enfermeiro</t>
        </is>
      </c>
      <c r="H35" s="39" t="inlineStr">
        <is>
          <t>Código pronto, teste pendente</t>
        </is>
      </c>
    </row>
    <row r="36" ht="15" customHeight="1" s="28">
      <c r="A36" s="38" t="inlineStr">
        <is>
          <t>GEN-46</t>
        </is>
      </c>
      <c r="B36" s="39" t="inlineStr">
        <is>
          <t>Fase 2 — Features Enfermeiro</t>
        </is>
      </c>
      <c r="C36" s="39" t="inlineStr">
        <is>
          <t>Home: lista pacientes do dia (lógica)</t>
        </is>
      </c>
      <c r="D36" s="39" t="inlineStr">
        <is>
          <t>Query Firestore por escala</t>
        </is>
      </c>
      <c r="E36" s="41" t="inlineStr">
        <is>
          <t>Done</t>
        </is>
      </c>
      <c r="F36" s="38" t="n">
        <v>2</v>
      </c>
      <c r="G36" s="39" t="inlineStr">
        <is>
          <t>Enfermeiro</t>
        </is>
      </c>
      <c r="H36" s="39" t="inlineStr">
        <is>
          <t>Depende T1-01</t>
        </is>
      </c>
    </row>
    <row r="37" ht="15" customHeight="1" s="28">
      <c r="A37" s="38" t="inlineStr">
        <is>
          <t>GEN-47</t>
        </is>
      </c>
      <c r="B37" s="39" t="inlineStr">
        <is>
          <t>Fase 2 — Features Enfermeiro</t>
        </is>
      </c>
      <c r="C37" s="39" t="inlineStr">
        <is>
          <t>Registro de medicamentos (lógica)</t>
        </is>
      </c>
      <c r="D37" s="39" t="inlineStr">
        <is>
          <t>Registro com prescrição em &lt; 30s</t>
        </is>
      </c>
      <c r="E37" s="41" t="inlineStr">
        <is>
          <t>Done</t>
        </is>
      </c>
      <c r="F37" s="38" t="n">
        <v>3</v>
      </c>
      <c r="G37" s="39" t="inlineStr">
        <is>
          <t>Enfermeiro</t>
        </is>
      </c>
      <c r="H37" s="39" t="inlineStr">
        <is>
          <t>Depende T1-02</t>
        </is>
      </c>
    </row>
    <row r="38" ht="15" customHeight="1" s="28">
      <c r="A38" s="38" t="inlineStr">
        <is>
          <t>GEN-48</t>
        </is>
      </c>
      <c r="B38" s="39" t="inlineStr">
        <is>
          <t>Fase 2 — Features Enfermeiro</t>
        </is>
      </c>
      <c r="C38" s="39" t="inlineStr">
        <is>
          <t>Registro de sinais vitais (lógica)</t>
        </is>
      </c>
      <c r="D38" s="39" t="inlineStr">
        <is>
          <t>Alerta se fora da faixa</t>
        </is>
      </c>
      <c r="E38" s="41" t="inlineStr">
        <is>
          <t>Done</t>
        </is>
      </c>
      <c r="F38" s="38" t="n">
        <v>2</v>
      </c>
      <c r="G38" s="39" t="inlineStr">
        <is>
          <t>Enfermeiro</t>
        </is>
      </c>
      <c r="H38" s="39" t="inlineStr">
        <is>
          <t>Depende T1-03</t>
        </is>
      </c>
    </row>
    <row r="39" ht="15" customHeight="1" s="28">
      <c r="A39" s="38" t="inlineStr">
        <is>
          <t>GEN-49</t>
        </is>
      </c>
      <c r="B39" s="39" t="inlineStr">
        <is>
          <t>Fase 2 — Features Enfermeiro</t>
        </is>
      </c>
      <c r="C39" s="39" t="inlineStr">
        <is>
          <t>Registro de alimentação (lógica)</t>
        </is>
      </c>
      <c r="D39" s="39" t="inlineStr">
        <is>
          <t>Registro com tipo e aceitação</t>
        </is>
      </c>
      <c r="E39" s="41" t="inlineStr">
        <is>
          <t>Done</t>
        </is>
      </c>
      <c r="F39" s="38" t="n">
        <v>2</v>
      </c>
      <c r="G39" s="39" t="inlineStr">
        <is>
          <t>Enfermeiro</t>
        </is>
      </c>
      <c r="H39" s="39" t="inlineStr">
        <is>
          <t>Depende T1-04</t>
        </is>
      </c>
    </row>
    <row r="40" ht="15" customHeight="1" s="28">
      <c r="A40" s="38" t="inlineStr">
        <is>
          <t>GEN-50</t>
        </is>
      </c>
      <c r="B40" s="39" t="inlineStr">
        <is>
          <t>Fase 2 — Features Enfermeiro</t>
        </is>
      </c>
      <c r="C40" s="39" t="inlineStr">
        <is>
          <t>Registro de intercorrências (lógica)</t>
        </is>
      </c>
      <c r="D40" s="39" t="inlineStr">
        <is>
          <t>Classificação de urgência</t>
        </is>
      </c>
      <c r="E40" s="41" t="inlineStr">
        <is>
          <t>Done</t>
        </is>
      </c>
      <c r="F40" s="38" t="n">
        <v>2</v>
      </c>
      <c r="G40" s="39" t="inlineStr">
        <is>
          <t>Enfermeiro</t>
        </is>
      </c>
      <c r="H40" s="39" t="inlineStr">
        <is>
          <t>Depende T1-05</t>
        </is>
      </c>
    </row>
    <row r="41" ht="15" customHeight="1" s="28">
      <c r="A41" s="38" t="inlineStr">
        <is>
          <t>GEN-51</t>
        </is>
      </c>
      <c r="B41" s="39" t="inlineStr">
        <is>
          <t>Fase 2 — Features Enfermeiro</t>
        </is>
      </c>
      <c r="C41" s="39" t="inlineStr">
        <is>
          <t>Offline-first com sincronização</t>
        </is>
      </c>
      <c r="D41" s="39" t="inlineStr">
        <is>
          <t>Registros sem internet sincronizam depois</t>
        </is>
      </c>
      <c r="E41" s="41" t="inlineStr">
        <is>
          <t>Done</t>
        </is>
      </c>
      <c r="F41" s="38" t="n">
        <v>5</v>
      </c>
      <c r="G41" s="39" t="inlineStr">
        <is>
          <t>Enfermeiro</t>
        </is>
      </c>
      <c r="H41" s="39" t="n"/>
    </row>
    <row r="42" ht="15" customHeight="1" s="28">
      <c r="A42" s="38" t="inlineStr">
        <is>
          <t>GEN-52</t>
        </is>
      </c>
      <c r="B42" s="39" t="inlineStr">
        <is>
          <t>Fase 2 — Features Enfermeiro</t>
        </is>
      </c>
      <c r="C42" s="39" t="inlineStr">
        <is>
          <t>Registro de atividades/cuidados (lógica)</t>
        </is>
      </c>
      <c r="D42" s="39" t="inlineStr">
        <is>
          <t>Registro em &lt; 15s</t>
        </is>
      </c>
      <c r="E42" s="41" t="inlineStr">
        <is>
          <t>Done</t>
        </is>
      </c>
      <c r="F42" s="38" t="n">
        <v>2</v>
      </c>
      <c r="G42" s="39" t="inlineStr">
        <is>
          <t>Enfermeiro</t>
        </is>
      </c>
      <c r="H42" s="39" t="inlineStr">
        <is>
          <t>Depende T1-06</t>
        </is>
      </c>
    </row>
    <row r="43" ht="15" customHeight="1" s="28">
      <c r="A43" s="38" t="inlineStr">
        <is>
          <t>GEN-53</t>
        </is>
      </c>
      <c r="B43" s="39" t="inlineStr">
        <is>
          <t>Fase 2 — Features Enfermeiro</t>
        </is>
      </c>
      <c r="C43" s="39" t="inlineStr">
        <is>
          <t>Registro fotográfico (lógica)</t>
        </is>
      </c>
      <c r="D43" s="39" t="inlineStr">
        <is>
          <t>Foto vinculada ao registro</t>
        </is>
      </c>
      <c r="E43" s="41" t="inlineStr">
        <is>
          <t>Done</t>
        </is>
      </c>
      <c r="F43" s="38" t="n">
        <v>2</v>
      </c>
      <c r="G43" s="39" t="inlineStr">
        <is>
          <t>Enfermeiro</t>
        </is>
      </c>
      <c r="H43" s="39" t="inlineStr">
        <is>
          <t>Depende T1-07</t>
        </is>
      </c>
    </row>
    <row r="44" ht="15" customHeight="1" s="28">
      <c r="A44" s="38" t="inlineStr">
        <is>
          <t>GEN-54</t>
        </is>
      </c>
      <c r="B44" s="39" t="inlineStr">
        <is>
          <t>Fase 2 — Features Enfermeiro</t>
        </is>
      </c>
      <c r="C44" s="39" t="inlineStr">
        <is>
          <t>Evolução / passagem de plantão (lógica)</t>
        </is>
      </c>
      <c r="D44" s="39" t="inlineStr">
        <is>
          <t>Evolução para próximo plantonista</t>
        </is>
      </c>
      <c r="E44" s="41" t="inlineStr">
        <is>
          <t>Done</t>
        </is>
      </c>
      <c r="F44" s="38" t="n">
        <v>3</v>
      </c>
      <c r="G44" s="39" t="inlineStr">
        <is>
          <t>Enfermeiro</t>
        </is>
      </c>
      <c r="H44" s="39" t="inlineStr">
        <is>
          <t>Depende T1-08</t>
        </is>
      </c>
    </row>
    <row r="45" ht="15" customHeight="1" s="28">
      <c r="A45" s="42" t="inlineStr">
        <is>
          <t>GEN-55</t>
        </is>
      </c>
      <c r="B45" s="43" t="inlineStr">
        <is>
          <t>Fase 3 — Features Família</t>
        </is>
      </c>
      <c r="C45" s="43" t="inlineStr">
        <is>
          <t>Timeline do dia (lógica real-time)</t>
        </is>
      </c>
      <c r="D45" s="43" t="inlineStr">
        <is>
          <t>Registro aparece em &lt; 5s</t>
        </is>
      </c>
      <c r="E45" s="41" t="inlineStr">
        <is>
          <t>Done</t>
        </is>
      </c>
      <c r="F45" s="42" t="n">
        <v>5</v>
      </c>
      <c r="G45" s="43" t="inlineStr">
        <is>
          <t>Família</t>
        </is>
      </c>
      <c r="H45" s="43" t="inlineStr">
        <is>
          <t>Depende T1-09</t>
        </is>
      </c>
    </row>
    <row r="46" ht="15" customHeight="1" s="28">
      <c r="A46" s="42" t="inlineStr">
        <is>
          <t>GEN-56</t>
        </is>
      </c>
      <c r="B46" s="43" t="inlineStr">
        <is>
          <t>Fase 3 — Features Família</t>
        </is>
      </c>
      <c r="C46" s="43" t="inlineStr">
        <is>
          <t>Notificações push (Cloud Function)</t>
        </is>
      </c>
      <c r="D46" s="43" t="inlineStr">
        <is>
          <t>Família recebe push ao registrar med.</t>
        </is>
      </c>
      <c r="E46" s="41" t="inlineStr">
        <is>
          <t>Blocked</t>
        </is>
      </c>
      <c r="F46" s="42" t="n">
        <v>3</v>
      </c>
      <c r="G46" s="43" t="inlineStr">
        <is>
          <t>Família</t>
        </is>
      </c>
      <c r="H46" s="43" t="n"/>
    </row>
    <row r="47" ht="15" customHeight="1" s="28">
      <c r="A47" s="42" t="inlineStr">
        <is>
          <t>GEN-57</t>
        </is>
      </c>
      <c r="B47" s="43" t="inlineStr">
        <is>
          <t>Fase 3 — Features Família</t>
        </is>
      </c>
      <c r="C47" s="43" t="inlineStr">
        <is>
          <t>Dados do paciente (lógica)</t>
        </is>
      </c>
      <c r="D47" s="43" t="inlineStr">
        <is>
          <t>Ficha completa somente leitura</t>
        </is>
      </c>
      <c r="E47" s="41" t="inlineStr">
        <is>
          <t>Done</t>
        </is>
      </c>
      <c r="F47" s="42" t="n">
        <v>2</v>
      </c>
      <c r="G47" s="43" t="inlineStr">
        <is>
          <t>Família</t>
        </is>
      </c>
      <c r="H47" s="43" t="inlineStr">
        <is>
          <t>Depende T1-10</t>
        </is>
      </c>
    </row>
    <row r="48" ht="15" customHeight="1" s="28">
      <c r="A48" s="42" t="inlineStr">
        <is>
          <t>GEN-58</t>
        </is>
      </c>
      <c r="B48" s="43" t="inlineStr">
        <is>
          <t>Fase 3 — Features Família</t>
        </is>
      </c>
      <c r="C48" s="43" t="inlineStr">
        <is>
          <t>Histórico e filtros (lógica)</t>
        </is>
      </c>
      <c r="D48" s="43" t="inlineStr">
        <is>
          <t>Filtro por tipo/período funcional</t>
        </is>
      </c>
      <c r="E48" s="41" t="inlineStr">
        <is>
          <t>Done</t>
        </is>
      </c>
      <c r="F48" s="42" t="n">
        <v>3</v>
      </c>
      <c r="G48" s="43" t="inlineStr">
        <is>
          <t>Família</t>
        </is>
      </c>
      <c r="H48" s="43" t="inlineStr">
        <is>
          <t>Depende T1-11</t>
        </is>
      </c>
    </row>
    <row r="49" ht="15" customHeight="1" s="28">
      <c r="A49" s="42" t="inlineStr">
        <is>
          <t>GEN-59</t>
        </is>
      </c>
      <c r="B49" s="43" t="inlineStr">
        <is>
          <t>Fase 3 — Features Família</t>
        </is>
      </c>
      <c r="C49" s="43" t="inlineStr">
        <is>
          <t>Gráfico de sinais vitais (lógica)</t>
        </is>
      </c>
      <c r="D49" s="43" t="inlineStr">
        <is>
          <t>Tendência de 7 dias</t>
        </is>
      </c>
      <c r="E49" s="41" t="inlineStr">
        <is>
          <t>Done</t>
        </is>
      </c>
      <c r="F49" s="42" t="n">
        <v>2</v>
      </c>
      <c r="G49" s="43" t="inlineStr">
        <is>
          <t>Família</t>
        </is>
      </c>
      <c r="H49" s="43" t="inlineStr">
        <is>
          <t>Depende T1-12</t>
        </is>
      </c>
    </row>
    <row r="50" ht="15" customHeight="1" s="28">
      <c r="A50" s="42" t="inlineStr">
        <is>
          <t>GEN-60</t>
        </is>
      </c>
      <c r="B50" s="43" t="inlineStr">
        <is>
          <t>Fase 3 — Features Família</t>
        </is>
      </c>
      <c r="C50" s="43" t="inlineStr">
        <is>
          <t>Exportar relatório em PDF</t>
        </is>
      </c>
      <c r="D50" s="43" t="inlineStr">
        <is>
          <t>PDF com registros de 7 dias</t>
        </is>
      </c>
      <c r="E50" s="41" t="inlineStr">
        <is>
          <t>Done</t>
        </is>
      </c>
      <c r="F50" s="42" t="n">
        <v>3</v>
      </c>
      <c r="G50" s="43" t="inlineStr">
        <is>
          <t>Família</t>
        </is>
      </c>
      <c r="H50" s="43" t="n"/>
    </row>
    <row r="51" ht="15" customHeight="1" s="28">
      <c r="A51" s="44" t="inlineStr">
        <is>
          <t>GEN-61</t>
        </is>
      </c>
      <c r="B51" s="45" t="inlineStr">
        <is>
          <t>Fase 4 — Features Admin</t>
        </is>
      </c>
      <c r="C51" s="45" t="inlineStr">
        <is>
          <t>Cadastro de pacientes (lógica)</t>
        </is>
      </c>
      <c r="D51" s="45" t="inlineStr">
        <is>
          <t>Paciente aparece para enf. e fam.</t>
        </is>
      </c>
      <c r="E51" s="41" t="inlineStr">
        <is>
          <t>Done</t>
        </is>
      </c>
      <c r="F51" s="44" t="n">
        <v>5</v>
      </c>
      <c r="G51" s="45" t="inlineStr">
        <is>
          <t>Admin</t>
        </is>
      </c>
      <c r="H51" s="45" t="inlineStr">
        <is>
          <t>Depende T1-13</t>
        </is>
      </c>
    </row>
    <row r="52" ht="15" customHeight="1" s="28">
      <c r="A52" s="44" t="inlineStr">
        <is>
          <t>GEN-62</t>
        </is>
      </c>
      <c r="B52" s="45" t="inlineStr">
        <is>
          <t>Fase 4 — Features Admin</t>
        </is>
      </c>
      <c r="C52" s="45" t="inlineStr">
        <is>
          <t>Cadastro profissionais completo (lógica)</t>
        </is>
      </c>
      <c r="D52" s="45" t="inlineStr">
        <is>
          <t>Form completo + Cloud Functions + Claims</t>
        </is>
      </c>
      <c r="E52" s="41" t="inlineStr">
        <is>
          <t>Done</t>
        </is>
      </c>
      <c r="F52" s="44" t="n">
        <v>2</v>
      </c>
      <c r="G52" s="45" t="inlineStr">
        <is>
          <t>Admin</t>
        </is>
      </c>
      <c r="H52" s="45" t="inlineStr">
        <is>
          <t>Básico já feito, faltam campos clínicos</t>
        </is>
      </c>
    </row>
    <row r="53" ht="15" customHeight="1" s="28">
      <c r="A53" s="44" t="inlineStr">
        <is>
          <t>GEN-63</t>
        </is>
      </c>
      <c r="B53" s="45" t="inlineStr">
        <is>
          <t>Fase 4 — Features Admin</t>
        </is>
      </c>
      <c r="C53" s="45" t="inlineStr">
        <is>
          <t>Vincular família ao paciente (lógica)</t>
        </is>
      </c>
      <c r="D53" s="45" t="inlineStr">
        <is>
          <t>Convite por email funcional</t>
        </is>
      </c>
      <c r="E53" s="41" t="inlineStr">
        <is>
          <t>Done</t>
        </is>
      </c>
      <c r="F53" s="44" t="n">
        <v>2</v>
      </c>
      <c r="G53" s="45" t="inlineStr">
        <is>
          <t>Admin</t>
        </is>
      </c>
      <c r="H53" s="45" t="inlineStr">
        <is>
          <t>Depende T1-15</t>
        </is>
      </c>
    </row>
    <row r="54" ht="15" customHeight="1" s="28">
      <c r="A54" s="44" t="inlineStr">
        <is>
          <t>GEN-64</t>
        </is>
      </c>
      <c r="B54" s="45" t="inlineStr">
        <is>
          <t>Fase 4 — Features Admin</t>
        </is>
      </c>
      <c r="C54" s="45" t="inlineStr">
        <is>
          <t>Gestão de escalas (lógica)</t>
        </is>
      </c>
      <c r="D54" s="45" t="inlineStr">
        <is>
          <t>Detecção de conflito automática</t>
        </is>
      </c>
      <c r="E54" s="41" t="inlineStr">
        <is>
          <t>Done</t>
        </is>
      </c>
      <c r="F54" s="44" t="n">
        <v>5</v>
      </c>
      <c r="G54" s="45" t="inlineStr">
        <is>
          <t>Admin</t>
        </is>
      </c>
      <c r="H54" s="45" t="inlineStr">
        <is>
          <t>Depende T1-16</t>
        </is>
      </c>
    </row>
    <row r="55" ht="15" customHeight="1" s="28">
      <c r="A55" s="44" t="inlineStr">
        <is>
          <t>GEN-65</t>
        </is>
      </c>
      <c r="B55" s="45" t="inlineStr">
        <is>
          <t>Fase 4 — Features Admin</t>
        </is>
      </c>
      <c r="C55" s="45" t="inlineStr">
        <is>
          <t>Dashboard operacional (lógica)</t>
        </is>
      </c>
      <c r="D55" s="45" t="inlineStr">
        <is>
          <t>Cards com dados reais</t>
        </is>
      </c>
      <c r="E55" s="41" t="inlineStr">
        <is>
          <t>Done</t>
        </is>
      </c>
      <c r="F55" s="44" t="n">
        <v>3</v>
      </c>
      <c r="G55" s="45" t="inlineStr">
        <is>
          <t>Admin</t>
        </is>
      </c>
      <c r="H55" s="45" t="inlineStr">
        <is>
          <t>Depende T1-17</t>
        </is>
      </c>
    </row>
    <row r="56" ht="15" customHeight="1" s="28">
      <c r="A56" s="44" t="inlineStr">
        <is>
          <t>GEN-66</t>
        </is>
      </c>
      <c r="B56" s="45" t="inlineStr">
        <is>
          <t>Fase 4 — Features Admin</t>
        </is>
      </c>
      <c r="C56" s="45" t="inlineStr">
        <is>
          <t>Controle financeiro (lógica)</t>
        </is>
      </c>
      <c r="D56" s="45" t="inlineStr">
        <is>
          <t>Resultado financeiro do mês</t>
        </is>
      </c>
      <c r="E56" s="41" t="inlineStr">
        <is>
          <t>Done</t>
        </is>
      </c>
      <c r="F56" s="44" t="n">
        <v>5</v>
      </c>
      <c r="G56" s="45" t="inlineStr">
        <is>
          <t>Admin</t>
        </is>
      </c>
      <c r="H56" s="45" t="inlineStr">
        <is>
          <t>Depende T1-18</t>
        </is>
      </c>
    </row>
    <row r="57" ht="15" customHeight="1" s="28">
      <c r="A57" s="44" t="inlineStr">
        <is>
          <t>GEN-67</t>
        </is>
      </c>
      <c r="B57" s="45" t="inlineStr">
        <is>
          <t>Fase 4 — Features Admin</t>
        </is>
      </c>
      <c r="C57" s="45" t="inlineStr">
        <is>
          <t>Exportar relatório financeiro</t>
        </is>
      </c>
      <c r="D57" s="45" t="inlineStr">
        <is>
          <t>CSV abre no Excel</t>
        </is>
      </c>
      <c r="E57" s="41" t="inlineStr">
        <is>
          <t>Done</t>
        </is>
      </c>
      <c r="F57" s="44" t="n">
        <v>2</v>
      </c>
      <c r="G57" s="45" t="inlineStr">
        <is>
          <t>Admin</t>
        </is>
      </c>
      <c r="H57" s="45" t="inlineStr">
        <is>
          <t>Depende T1-19</t>
        </is>
      </c>
    </row>
    <row r="58" ht="15" customHeight="1" s="28">
      <c r="A58" s="44" t="inlineStr">
        <is>
          <t>GEN-68</t>
        </is>
      </c>
      <c r="B58" s="45" t="inlineStr">
        <is>
          <t>Fase 4 — Features Admin</t>
        </is>
      </c>
      <c r="C58" s="45" t="inlineStr">
        <is>
          <t>Security Rules completas</t>
        </is>
      </c>
      <c r="D58" s="45" t="inlineStr">
        <is>
          <t>Nenhum perfil acessa dados indevidos</t>
        </is>
      </c>
      <c r="E58" s="41" t="inlineStr">
        <is>
          <t>Done</t>
        </is>
      </c>
      <c r="F58" s="44" t="n">
        <v>3</v>
      </c>
      <c r="G58" s="45" t="inlineStr">
        <is>
          <t>Infra</t>
        </is>
      </c>
      <c r="H58" s="45" t="n"/>
    </row>
    <row r="59" ht="15" customHeight="1" s="28">
      <c r="A59" s="46" t="inlineStr">
        <is>
          <t>GEN-69</t>
        </is>
      </c>
      <c r="B59" s="47" t="inlineStr">
        <is>
          <t>Fase 5 — Polimento &amp; Deploy</t>
        </is>
      </c>
      <c r="C59" s="47" t="inlineStr">
        <is>
          <t>Testes end-to-end</t>
        </is>
      </c>
      <c r="D59" s="47" t="inlineStr">
        <is>
          <t>Fluxos críticos cobertos</t>
        </is>
      </c>
      <c r="E59" s="41" t="inlineStr">
        <is>
          <t>Done</t>
        </is>
      </c>
      <c r="F59" s="46" t="n">
        <v>5</v>
      </c>
      <c r="G59" s="47" t="inlineStr">
        <is>
          <t>QA</t>
        </is>
      </c>
      <c r="H59" s="47" t="n"/>
    </row>
    <row r="60" ht="15" customHeight="1" s="28">
      <c r="A60" s="46" t="inlineStr">
        <is>
          <t>GEN-70</t>
        </is>
      </c>
      <c r="B60" s="47" t="inlineStr">
        <is>
          <t>Fase 5 — Polimento &amp; Deploy</t>
        </is>
      </c>
      <c r="C60" s="47" t="inlineStr">
        <is>
          <t>Termo de consentimento LGPD</t>
        </is>
      </c>
      <c r="D60" s="47" t="inlineStr">
        <is>
          <t>Aceite obrigatório no 1º login</t>
        </is>
      </c>
      <c r="E60" s="41" t="inlineStr">
        <is>
          <t>Done</t>
        </is>
      </c>
      <c r="F60" s="46" t="n">
        <v>2</v>
      </c>
      <c r="G60" s="47" t="inlineStr">
        <is>
          <t>Infra</t>
        </is>
      </c>
      <c r="H60" s="47" t="n"/>
    </row>
    <row r="61" ht="15" customHeight="1" s="28">
      <c r="A61" s="46" t="inlineStr">
        <is>
          <t>GEN-71</t>
        </is>
      </c>
      <c r="B61" s="47" t="inlineStr">
        <is>
          <t>Fase 5 — Polimento &amp; Deploy</t>
        </is>
      </c>
      <c r="C61" s="47" t="inlineStr">
        <is>
          <t>Log de auditoria</t>
        </is>
      </c>
      <c r="D61" s="47" t="inlineStr">
        <is>
          <t>Cloud Function registra toda alteração</t>
        </is>
      </c>
      <c r="E61" s="41" t="inlineStr">
        <is>
          <t>Done</t>
        </is>
      </c>
      <c r="F61" s="46" t="n">
        <v>2</v>
      </c>
      <c r="G61" s="47" t="inlineStr">
        <is>
          <t>Infra</t>
        </is>
      </c>
      <c r="H61" s="47" t="n"/>
    </row>
    <row r="62" ht="15" customHeight="1" s="28">
      <c r="A62" s="46" t="inlineStr">
        <is>
          <t>GEN-72</t>
        </is>
      </c>
      <c r="B62" s="47" t="inlineStr">
        <is>
          <t>Fase 5 — Polimento &amp; Deploy</t>
        </is>
      </c>
      <c r="C62" s="47" t="inlineStr">
        <is>
          <t>UI/UX polish</t>
        </is>
      </c>
      <c r="D62" s="47" t="inlineStr">
        <is>
          <t>WCAG AA, loading states, skeletons</t>
        </is>
      </c>
      <c r="E62" s="41" t="inlineStr">
        <is>
          <t>Done</t>
        </is>
      </c>
      <c r="F62" s="46" t="n">
        <v>3</v>
      </c>
      <c r="G62" s="47" t="inlineStr">
        <is>
          <t>Design</t>
        </is>
      </c>
      <c r="H62" s="47" t="n"/>
    </row>
    <row r="63" ht="15" customHeight="1" s="28">
      <c r="A63" s="46" t="inlineStr">
        <is>
          <t>GEN-73</t>
        </is>
      </c>
      <c r="B63" s="47" t="inlineStr">
        <is>
          <t>Fase 5 — Polimento &amp; Deploy</t>
        </is>
      </c>
      <c r="C63" s="47" t="inlineStr">
        <is>
          <t>Preparar stores (App Store + Play)</t>
        </is>
      </c>
      <c r="D63" s="47" t="inlineStr">
        <is>
          <t>Publicação pronta</t>
        </is>
      </c>
      <c r="E63" s="41" t="inlineStr">
        <is>
          <t>Done</t>
        </is>
      </c>
      <c r="F63" s="46" t="n">
        <v>3</v>
      </c>
      <c r="G63" s="47" t="inlineStr">
        <is>
          <t>Setup</t>
        </is>
      </c>
      <c r="H63" s="47" t="n"/>
    </row>
    <row r="64" ht="15" customHeight="1" s="28">
      <c r="A64" s="46" t="inlineStr">
        <is>
          <t>GEN-74</t>
        </is>
      </c>
      <c r="B64" s="47" t="inlineStr">
        <is>
          <t>Fase 5 — Polimento &amp; Deploy</t>
        </is>
      </c>
      <c r="C64" s="47" t="inlineStr">
        <is>
          <t>Teste com usuários reais</t>
        </is>
      </c>
      <c r="D64" s="47" t="inlineStr">
        <is>
          <t>Feedback de enf., fam. e admin reais</t>
        </is>
      </c>
      <c r="E64" s="41" t="inlineStr">
        <is>
          <t>Done</t>
        </is>
      </c>
      <c r="F64" s="46" t="n">
        <v>5</v>
      </c>
      <c r="G64" s="47" t="inlineStr">
        <is>
          <t>QA</t>
        </is>
      </c>
      <c r="H64" s="47" t="n"/>
    </row>
    <row r="66" ht="15" customHeight="1" s="28">
      <c r="A66" s="48" t="inlineStr">
        <is>
          <t>GEN-75</t>
        </is>
      </c>
      <c r="B66" s="48" t="inlineStr">
        <is>
          <t>Fase 6 — Gaps</t>
        </is>
      </c>
      <c r="C66" t="inlineStr">
        <is>
          <t>FamilyHomeScreen funcional</t>
        </is>
      </c>
      <c r="D66" t="inlineStr">
        <is>
          <t>Tela família com dados reais: paciente, registros, plantão</t>
        </is>
      </c>
      <c r="E66" t="inlineStr">
        <is>
          <t>Done</t>
        </is>
      </c>
      <c r="F66" t="n">
        <v>3</v>
      </c>
      <c r="G66" t="inlineStr">
        <is>
          <t>Feature</t>
        </is>
      </c>
      <c r="H66" t="inlineStr">
        <is>
          <t>Substituiu placeholder por tela completa com Firestore</t>
        </is>
      </c>
    </row>
    <row r="67" ht="15" customHeight="1" s="28">
      <c r="A67" s="48" t="inlineStr">
        <is>
          <t>GEN-76</t>
        </is>
      </c>
      <c r="B67" s="48" t="inlineStr">
        <is>
          <t>Fase 6 — Gaps</t>
        </is>
      </c>
      <c r="C67" t="inlineStr">
        <is>
          <t>ShiftCheckin seleção de paciente</t>
        </is>
      </c>
      <c r="D67" t="inlineStr">
        <is>
          <t>Checkin com paciente dinâmico (não hardcoded)</t>
        </is>
      </c>
      <c r="E67" t="inlineStr">
        <is>
          <t>Done</t>
        </is>
      </c>
      <c r="F67" t="n">
        <v>2</v>
      </c>
      <c r="G67" t="inlineStr">
        <is>
          <t>Fix</t>
        </is>
      </c>
      <c r="H67" t="inlineStr">
        <is>
          <t>Removido paciente-placeholder, adicionado seletor</t>
        </is>
      </c>
    </row>
    <row r="68" ht="15" customHeight="1" s="28">
      <c r="A68" s="48" t="inlineStr">
        <is>
          <t>GEN-77</t>
        </is>
      </c>
      <c r="B68" s="48" t="inlineStr">
        <is>
          <t>Fase 6 — Gaps</t>
        </is>
      </c>
      <c r="C68" s="27" t="inlineStr">
        <is>
          <t>ScheduleScreen + scheduleService Firebase</t>
        </is>
      </c>
      <c r="D68" s="27" t="inlineStr">
        <is>
          <t>Escalas lidas do Firestore com mock fallback</t>
        </is>
      </c>
      <c r="E68" s="27" t="inlineStr">
        <is>
          <t>Done</t>
        </is>
      </c>
      <c r="F68" s="27" t="n">
        <v>3</v>
      </c>
      <c r="G68" s="27" t="inlineStr">
        <is>
          <t>Feature</t>
        </is>
      </c>
      <c r="H68" s="27" t="inlineStr">
        <is>
          <t>scheduleService.ts + integração na tela</t>
        </is>
      </c>
    </row>
    <row r="69" ht="15" customHeight="1" s="28">
      <c r="A69" s="48" t="inlineStr">
        <is>
          <t>GEN-78</t>
        </is>
      </c>
      <c r="B69" s="48" t="inlineStr">
        <is>
          <t>Fase 6 — Gaps</t>
        </is>
      </c>
      <c r="C69" s="27" t="inlineStr">
        <is>
          <t>FinancialScreen + financialService Firebase</t>
        </is>
      </c>
      <c r="D69" s="27" t="inlineStr">
        <is>
          <t>Financeiro lido do Firestore com mock fallback</t>
        </is>
      </c>
      <c r="E69" s="27" t="inlineStr">
        <is>
          <t>Done</t>
        </is>
      </c>
      <c r="F69" s="27" t="n">
        <v>3</v>
      </c>
      <c r="G69" s="27" t="inlineStr">
        <is>
          <t>Feature</t>
        </is>
      </c>
      <c r="H69" s="27" t="inlineStr">
        <is>
          <t>financialService.ts + integração na tela</t>
        </is>
      </c>
    </row>
    <row r="70" ht="15" customHeight="1" s="28">
      <c r="A70" s="48" t="inlineStr">
        <is>
          <t>GEN-79</t>
        </is>
      </c>
      <c r="B70" s="48" t="inlineStr">
        <is>
          <t>Fase 6 — Gaps</t>
        </is>
      </c>
      <c r="C70" s="27" t="inlineStr">
        <is>
          <t>RegisterPhoto + Firebase Storage upload</t>
        </is>
      </c>
      <c r="D70" s="27" t="inlineStr">
        <is>
          <t>Upload de foto vai pro Storage, fallback local</t>
        </is>
      </c>
      <c r="E70" s="27" t="inlineStr">
        <is>
          <t>Done</t>
        </is>
      </c>
      <c r="F70" s="27" t="n">
        <v>3</v>
      </c>
      <c r="G70" s="27" t="inlineStr">
        <is>
          <t>Feature</t>
        </is>
      </c>
      <c r="H70" s="27" t="inlineStr">
        <is>
          <t>storageService.ts + integração na tela</t>
        </is>
      </c>
    </row>
    <row r="71" ht="15" customHeight="1" s="28">
      <c r="A71" s="48" t="n"/>
      <c r="B71" s="48" t="n"/>
      <c r="C71" s="27" t="n"/>
      <c r="D71" s="27" t="n"/>
      <c r="E71" s="27" t="n"/>
      <c r="F71" s="27" t="n"/>
      <c r="G71" s="27" t="n"/>
      <c r="H71" s="27" t="n"/>
    </row>
    <row r="72" ht="15" customHeight="1" s="28">
      <c r="A72" s="48" t="inlineStr">
        <is>
          <t>Resumo</t>
        </is>
      </c>
      <c r="B72" s="48" t="n"/>
      <c r="C72" s="27" t="n"/>
      <c r="D72" s="27" t="n"/>
      <c r="E72" s="27" t="n"/>
      <c r="F72" s="27" t="n"/>
      <c r="G72" s="27" t="n"/>
      <c r="H72" s="27" t="n"/>
    </row>
    <row r="73">
      <c r="A73" s="27" t="inlineStr">
        <is>
          <t>Total issues:</t>
        </is>
      </c>
      <c r="B73" s="27">
        <f>COUNTA(A5:A70)</f>
        <v/>
      </c>
      <c r="C73" s="27" t="n"/>
      <c r="D73" s="27" t="n"/>
      <c r="E73" s="27" t="n"/>
      <c r="F73" s="27" t="n"/>
      <c r="G73" s="27" t="n"/>
      <c r="H73" s="27" t="n"/>
    </row>
    <row r="74">
      <c r="A74" s="27" t="inlineStr">
        <is>
          <t>Total pontos:</t>
        </is>
      </c>
      <c r="B74" s="27">
        <f>SUM(F5:F70)</f>
        <v/>
      </c>
      <c r="C74" s="27" t="n"/>
      <c r="D74" s="27" t="n"/>
      <c r="E74" s="27" t="n"/>
      <c r="F74" s="27" t="n"/>
      <c r="G74" s="27" t="n"/>
      <c r="H74" s="27" t="n"/>
    </row>
    <row r="75">
      <c r="A75" s="27" t="inlineStr">
        <is>
          <t>Done:</t>
        </is>
      </c>
      <c r="B75" s="27">
        <f>COUNTIF(E5:E70,"Done")</f>
        <v/>
      </c>
      <c r="C75" s="27" t="n"/>
      <c r="D75" s="27" t="n"/>
      <c r="E75" s="27" t="n"/>
      <c r="F75" s="27" t="n"/>
      <c r="G75" s="27" t="n"/>
      <c r="H75" s="27" t="n"/>
    </row>
    <row r="76">
      <c r="A76" s="27" t="inlineStr">
        <is>
          <t>In Progress:</t>
        </is>
      </c>
      <c r="B76" s="27">
        <f>COUNTIF(E5:E70,"In Progress")</f>
        <v/>
      </c>
      <c r="C76" s="27" t="n"/>
      <c r="D76" s="27" t="n"/>
      <c r="E76" s="27" t="n"/>
      <c r="F76" s="27" t="n"/>
      <c r="G76" s="27" t="n"/>
      <c r="H76" s="27" t="n"/>
    </row>
    <row r="77">
      <c r="A77" s="27" t="inlineStr">
        <is>
          <t>Blocked:</t>
        </is>
      </c>
      <c r="B77" s="27">
        <f>COUNTIF(E5:E70,"Blocked")</f>
        <v/>
      </c>
      <c r="C77" s="27" t="n"/>
      <c r="D77" s="27" t="n"/>
      <c r="E77" s="27" t="n"/>
      <c r="F77" s="27" t="n"/>
      <c r="G77" s="27" t="n"/>
      <c r="H77" s="27" t="n"/>
    </row>
    <row r="78">
      <c r="A78" s="27" t="inlineStr">
        <is>
          <t>Backlog:</t>
        </is>
      </c>
      <c r="B78" s="27">
        <f>COUNTIF(E5:E70,"Backlog")</f>
        <v/>
      </c>
    </row>
  </sheetData>
  <autoFilter ref="A4:H65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2C55E"/>
    <outlinePr summaryBelow="1" summaryRight="1"/>
    <pageSetUpPr fitToPage="0"/>
  </sheetPr>
  <dimension ref="A1:L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7" min="1" max="1"/>
    <col width="40" customWidth="1" style="27" min="2" max="2"/>
    <col width="2" customWidth="1" style="27" min="3" max="3"/>
    <col width="10" customWidth="1" style="27" min="4" max="4"/>
    <col width="40" customWidth="1" style="27" min="5" max="5"/>
    <col width="2" customWidth="1" style="27" min="6" max="6"/>
    <col width="10" customWidth="1" style="27" min="7" max="7"/>
    <col width="40" customWidth="1" style="27" min="8" max="8"/>
    <col width="2" customWidth="1" style="27" min="9" max="9"/>
  </cols>
  <sheetData>
    <row r="1" ht="39.75" customHeight="1" s="28">
      <c r="A1" s="49" t="inlineStr">
        <is>
          <t>Kanban Board — Sprint Atual</t>
        </is>
      </c>
    </row>
    <row r="3" ht="15" customHeight="1" s="28">
      <c r="A3" s="50" t="inlineStr">
        <is>
          <t>Backlog</t>
        </is>
      </c>
      <c r="B3" s="51" t="n"/>
      <c r="D3" s="52" t="inlineStr">
        <is>
          <t>In Progress</t>
        </is>
      </c>
      <c r="E3" s="51" t="n"/>
      <c r="G3" s="53" t="inlineStr">
        <is>
          <t>Done (esta sprint)</t>
        </is>
      </c>
      <c r="H3" s="51" t="n"/>
    </row>
    <row r="4" ht="15" customHeight="1" s="28">
      <c r="A4" s="54" t="inlineStr">
        <is>
          <t>T1-01</t>
        </is>
      </c>
      <c r="B4" s="36" t="inlineStr">
        <is>
          <t>Esqueleto: NurseHomeScreen (lista pacientes)</t>
        </is>
      </c>
      <c r="D4" s="54" t="inlineStr">
        <is>
          <t>GEN-75</t>
        </is>
      </c>
      <c r="E4" s="36" t="inlineStr">
        <is>
          <t>Mapear IA: documento com todas as telas</t>
        </is>
      </c>
    </row>
    <row r="5" ht="15" customHeight="1" s="28">
      <c r="A5" s="54" t="inlineStr">
        <is>
          <t>T1-02</t>
        </is>
      </c>
      <c r="B5" s="36" t="inlineStr">
        <is>
          <t>Esqueleto: Registro de medicamentos</t>
        </is>
      </c>
    </row>
    <row r="6" ht="15" customHeight="1" s="28">
      <c r="A6" s="54" t="inlineStr">
        <is>
          <t>T1-03</t>
        </is>
      </c>
      <c r="B6" s="36" t="inlineStr">
        <is>
          <t>Esqueleto: Registro de sinais vitais</t>
        </is>
      </c>
    </row>
    <row r="7" ht="15" customHeight="1" s="28">
      <c r="A7" s="54" t="inlineStr">
        <is>
          <t>T1-04</t>
        </is>
      </c>
      <c r="B7" s="36" t="inlineStr">
        <is>
          <t>Esqueleto: Registro de alimentação</t>
        </is>
      </c>
    </row>
    <row r="8" ht="15" customHeight="1" s="28">
      <c r="A8" s="54" t="inlineStr">
        <is>
          <t>T1-05</t>
        </is>
      </c>
      <c r="B8" s="36" t="inlineStr">
        <is>
          <t>Esqueleto: Registro de intercorrências</t>
        </is>
      </c>
    </row>
    <row r="9" ht="15" customHeight="1" s="28">
      <c r="A9" s="54" t="inlineStr">
        <is>
          <t>T1-06</t>
        </is>
      </c>
      <c r="B9" s="36" t="inlineStr">
        <is>
          <t>Esqueleto: Registro de atividades/cuidados</t>
        </is>
      </c>
    </row>
    <row r="10" ht="15" customHeight="1" s="28">
      <c r="A10" s="54" t="inlineStr">
        <is>
          <t>T1-07</t>
        </is>
      </c>
      <c r="B10" s="36" t="inlineStr">
        <is>
          <t>Esqueleto: Registro fotográfico</t>
        </is>
      </c>
    </row>
    <row r="11" ht="15" customHeight="1" s="28">
      <c r="A11" s="54" t="inlineStr">
        <is>
          <t>T1-08</t>
        </is>
      </c>
      <c r="B11" s="36" t="inlineStr">
        <is>
          <t>Esqueleto: Evolução / passagem de plantão</t>
        </is>
      </c>
    </row>
    <row r="12" ht="15" customHeight="1" s="28">
      <c r="A12" s="54" t="inlineStr">
        <is>
          <t>T1-09</t>
        </is>
      </c>
      <c r="B12" s="36" t="inlineStr">
        <is>
          <t>Esqueleto: Timeline do dia (família)</t>
        </is>
      </c>
    </row>
    <row r="13" ht="15" customHeight="1" s="28">
      <c r="A13" s="54" t="inlineStr">
        <is>
          <t>T1-10</t>
        </is>
      </c>
      <c r="B13" s="36" t="inlineStr">
        <is>
          <t>Esqueleto: Dados do paciente (família)</t>
        </is>
      </c>
    </row>
    <row r="14" ht="15" customHeight="1" s="28">
      <c r="A14" s="54" t="inlineStr">
        <is>
          <t>T1-11</t>
        </is>
      </c>
      <c r="B14" s="36" t="inlineStr">
        <is>
          <t>Esqueleto: Histórico e filtros (família)</t>
        </is>
      </c>
    </row>
    <row r="15" ht="15" customHeight="1" s="28">
      <c r="A15" s="54" t="inlineStr">
        <is>
          <t>T1-12</t>
        </is>
      </c>
      <c r="B15" s="36" t="inlineStr">
        <is>
          <t>Esqueleto: Gráfico de sinais vitais (família)</t>
        </is>
      </c>
    </row>
    <row r="16" ht="15" customHeight="1" s="28">
      <c r="A16" s="54" t="inlineStr">
        <is>
          <t>T1-13</t>
        </is>
      </c>
      <c r="B16" s="36" t="inlineStr">
        <is>
          <t>Esqueleto: Cadastro de pacientes (admin)</t>
        </is>
      </c>
    </row>
    <row r="17" ht="15" customHeight="1" s="28">
      <c r="A17" s="54" t="inlineStr">
        <is>
          <t>T1-14</t>
        </is>
      </c>
      <c r="B17" s="36" t="inlineStr">
        <is>
          <t>Esqueleto: Cadastro de profissionais (admin)</t>
        </is>
      </c>
    </row>
    <row r="18" ht="15" customHeight="1" s="28">
      <c r="A18" s="54" t="inlineStr">
        <is>
          <t>T1-15</t>
        </is>
      </c>
      <c r="B18" s="36" t="inlineStr">
        <is>
          <t>Esqueleto: Vincular família ao paciente</t>
        </is>
      </c>
    </row>
    <row r="19" ht="15" customHeight="1" s="28">
      <c r="A19" s="54" t="inlineStr">
        <is>
          <t>T1-16</t>
        </is>
      </c>
      <c r="B19" s="36" t="inlineStr">
        <is>
          <t>Esqueleto: Gestão de escalas (admin)</t>
        </is>
      </c>
    </row>
    <row r="20" ht="15" customHeight="1" s="28">
      <c r="A20" s="54" t="inlineStr">
        <is>
          <t>T1-17</t>
        </is>
      </c>
      <c r="B20" s="36" t="inlineStr">
        <is>
          <t>Esqueleto: Dashboard operacional (admin)</t>
        </is>
      </c>
    </row>
    <row r="21" ht="15" customHeight="1" s="28">
      <c r="A21" s="54" t="inlineStr">
        <is>
          <t>T1-18</t>
        </is>
      </c>
      <c r="B21" s="36" t="inlineStr">
        <is>
          <t>Esqueleto: Controle financeiro (admin)</t>
        </is>
      </c>
    </row>
    <row r="22" ht="15" customHeight="1" s="28">
      <c r="A22" s="54" t="inlineStr">
        <is>
          <t>T1-19</t>
        </is>
      </c>
      <c r="B22" s="36" t="inlineStr">
        <is>
          <t>Esqueleto: Exportar relatório (admin)</t>
        </is>
      </c>
    </row>
    <row r="23" ht="15" customHeight="1" s="28">
      <c r="A23" s="54" t="inlineStr">
        <is>
          <t>T1-20</t>
        </is>
      </c>
      <c r="B23" s="36" t="inlineStr">
        <is>
          <t>Montar Stacks/Tabs completos (3 perfis)</t>
        </is>
      </c>
    </row>
    <row r="25" ht="15" customHeight="1" s="28">
      <c r="A25" s="30" t="inlineStr">
        <is>
          <t>Foco: Fase 1 (Telas &amp; Navegação). Fases 2-5 entram no kanban quando a Fase 1 fechar.</t>
        </is>
      </c>
    </row>
  </sheetData>
  <mergeCells count="5">
    <mergeCell ref="A25:H25"/>
    <mergeCell ref="A1:L1"/>
    <mergeCell ref="D3:E3"/>
    <mergeCell ref="A3:B3"/>
    <mergeCell ref="G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59E0B"/>
    <outlinePr summaryBelow="1" summaryRight="1"/>
    <pageSetUpPr fitToPage="0"/>
  </sheetPr>
  <dimension ref="A1:E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7" min="1" max="2"/>
    <col width="12" customWidth="1" style="27" min="3" max="3"/>
    <col width="55" customWidth="1" style="27" min="4" max="4"/>
    <col width="35" customWidth="1" style="27" min="5" max="5"/>
  </cols>
  <sheetData>
    <row r="1" ht="39.75" customHeight="1" s="28">
      <c r="A1" s="49" t="inlineStr">
        <is>
          <t>Log de Atividades</t>
        </is>
      </c>
    </row>
    <row r="3" ht="30" customHeight="1" s="28">
      <c r="A3" s="31" t="inlineStr">
        <is>
          <t>Data</t>
        </is>
      </c>
      <c r="B3" s="31" t="inlineStr">
        <is>
          <t>Issue</t>
        </is>
      </c>
      <c r="C3" s="31" t="inlineStr">
        <is>
          <t>Ação</t>
        </is>
      </c>
      <c r="D3" s="31" t="inlineStr">
        <is>
          <t>Detalhes</t>
        </is>
      </c>
      <c r="E3" s="31" t="inlineStr">
        <is>
          <t>Commit</t>
        </is>
      </c>
    </row>
    <row r="4" ht="15" customHeight="1" s="28">
      <c r="A4" s="55" t="inlineStr">
        <is>
          <t>10/04</t>
        </is>
      </c>
      <c r="B4" s="55" t="inlineStr">
        <is>
          <t>GEN-40</t>
        </is>
      </c>
      <c r="C4" s="56" t="inlineStr">
        <is>
          <t>Done</t>
        </is>
      </c>
      <c r="D4" s="56" t="inlineStr">
        <is>
          <t>Projeto Expo criado com estrutura de pastas</t>
        </is>
      </c>
      <c r="E4" s="56" t="inlineStr">
        <is>
          <t>Initial commit</t>
        </is>
      </c>
    </row>
    <row r="5" ht="15" customHeight="1" s="28">
      <c r="A5" s="55" t="inlineStr">
        <is>
          <t>12/04</t>
        </is>
      </c>
      <c r="B5" s="55" t="inlineStr">
        <is>
          <t>GEN-41</t>
        </is>
      </c>
      <c r="C5" s="56" t="inlineStr">
        <is>
          <t>Done</t>
        </is>
      </c>
      <c r="D5" s="56" t="inlineStr">
        <is>
          <t>Firebase JS SDK + AsyncStorage persistence</t>
        </is>
      </c>
      <c r="E5" s="56" t="n"/>
    </row>
    <row r="6" ht="15" customHeight="1" s="28">
      <c r="A6" s="55" t="inlineStr">
        <is>
          <t>12/04</t>
        </is>
      </c>
      <c r="B6" s="55" t="inlineStr">
        <is>
          <t>GEN-42</t>
        </is>
      </c>
      <c r="C6" s="56" t="inlineStr">
        <is>
          <t>Done</t>
        </is>
      </c>
      <c r="D6" s="56" t="inlineStr">
        <is>
          <t>Types + Security Rules publicadas</t>
        </is>
      </c>
      <c r="E6" s="56" t="n"/>
    </row>
    <row r="7" ht="15" customHeight="1" s="28">
      <c r="A7" s="55" t="inlineStr">
        <is>
          <t>13/04</t>
        </is>
      </c>
      <c r="B7" s="55" t="inlineStr">
        <is>
          <t>GEN-43</t>
        </is>
      </c>
      <c r="C7" s="56" t="inlineStr">
        <is>
          <t>Done</t>
        </is>
      </c>
      <c r="D7" s="56" t="inlineStr">
        <is>
          <t>GitHub Actions: lint + typecheck (Node 22)</t>
        </is>
      </c>
      <c r="E7" s="56" t="inlineStr">
        <is>
          <t>feat: add CI workflow</t>
        </is>
      </c>
    </row>
    <row r="8" ht="15" customHeight="1" s="28">
      <c r="A8" s="55" t="inlineStr">
        <is>
          <t>13/04</t>
        </is>
      </c>
      <c r="B8" s="55" t="inlineStr">
        <is>
          <t>GEN-44</t>
        </is>
      </c>
      <c r="C8" s="56" t="inlineStr">
        <is>
          <t>Done</t>
        </is>
      </c>
      <c r="D8" s="56" t="inlineStr">
        <is>
          <t>Login + navegação por role + Zustand</t>
        </is>
      </c>
      <c r="E8" s="56" t="n"/>
    </row>
    <row r="9" ht="15" customHeight="1" s="28">
      <c r="A9" s="55" t="inlineStr">
        <is>
          <t>13/04</t>
        </is>
      </c>
      <c r="B9" s="55" t="inlineStr">
        <is>
          <t>GEN-78</t>
        </is>
      </c>
      <c r="C9" s="56" t="inlineStr">
        <is>
          <t>Done</t>
        </is>
      </c>
      <c r="D9" s="56" t="inlineStr">
        <is>
          <t>Redesign Apple-like: Login, Checkin, Admin</t>
        </is>
      </c>
      <c r="E9" s="56" t="n"/>
    </row>
    <row r="10" ht="15" customHeight="1" s="28">
      <c r="A10" s="55" t="inlineStr">
        <is>
          <t>13/04</t>
        </is>
      </c>
      <c r="B10" s="55" t="inlineStr">
        <is>
          <t>GEN-77</t>
        </is>
      </c>
      <c r="C10" s="56" t="inlineStr">
        <is>
          <t>Done</t>
        </is>
      </c>
      <c r="D10" s="56" t="inlineStr">
        <is>
          <t>Simulador de roles + SimulationBanner</t>
        </is>
      </c>
      <c r="E10" s="56" t="n"/>
    </row>
    <row r="11" ht="15" customHeight="1" s="28">
      <c r="A11" s="55" t="inlineStr">
        <is>
          <t>13/04</t>
        </is>
      </c>
      <c r="B11" s="55" t="inlineStr">
        <is>
          <t>—</t>
        </is>
      </c>
      <c r="C11" s="56" t="inlineStr">
        <is>
          <t>Fix</t>
        </is>
      </c>
      <c r="D11" s="56" t="inlineStr">
        <is>
          <t>ESLint flat config + @eslint/compat (fixupPluginRules)</t>
        </is>
      </c>
      <c r="E11" s="56" t="inlineStr">
        <is>
          <t>fix: update CI</t>
        </is>
      </c>
    </row>
    <row r="12" ht="15" customHeight="1" s="28">
      <c r="A12" s="55" t="inlineStr">
        <is>
          <t>13/04</t>
        </is>
      </c>
      <c r="B12" s="55" t="inlineStr">
        <is>
          <t>—</t>
        </is>
      </c>
      <c r="C12" s="56" t="inlineStr">
        <is>
          <t>Fix</t>
        </is>
      </c>
      <c r="D12" s="56" t="inlineStr">
        <is>
          <t>eslint-disable no-unused-styles (falso positivo conhecido)</t>
        </is>
      </c>
      <c r="E12" s="56" t="inlineStr">
        <is>
          <t>fix(lint)</t>
        </is>
      </c>
    </row>
    <row r="13" ht="15" customHeight="1" s="28">
      <c r="A13" s="55" t="inlineStr">
        <is>
          <t>13/04</t>
        </is>
      </c>
      <c r="B13" s="55" t="inlineStr">
        <is>
          <t>GEN-45</t>
        </is>
      </c>
      <c r="C13" s="56" t="inlineStr">
        <is>
          <t>Start</t>
        </is>
      </c>
      <c r="D13" s="56" t="inlineStr">
        <is>
          <t>ShiftCheckinScreen + shiftService + useLocation</t>
        </is>
      </c>
      <c r="E13" s="56" t="n"/>
    </row>
    <row r="14" ht="15" customHeight="1" s="28">
      <c r="A14" s="55" t="inlineStr">
        <is>
          <t>14/04</t>
        </is>
      </c>
      <c r="B14" s="55" t="inlineStr">
        <is>
          <t>GEN-76</t>
        </is>
      </c>
      <c r="C14" s="56" t="inlineStr">
        <is>
          <t>Done</t>
        </is>
      </c>
      <c r="D14" s="56" t="inlineStr">
        <is>
          <t>SetupEmpresaScreen + empresaService + rules</t>
        </is>
      </c>
      <c r="E14" s="56" t="inlineStr">
        <is>
          <t>feat(admin): setup empresa</t>
        </is>
      </c>
    </row>
    <row r="15" ht="15" customHeight="1" s="28">
      <c r="A15" s="55" t="inlineStr">
        <is>
          <t>14/04</t>
        </is>
      </c>
      <c r="B15" s="55" t="inlineStr">
        <is>
          <t>GEN-62</t>
        </is>
      </c>
      <c r="C15" s="56" t="inlineStr">
        <is>
          <t>Parcial</t>
        </is>
      </c>
      <c r="D15" s="56" t="inlineStr">
        <is>
          <t>CreateNurseScreen + adminUserService (app secundária)</t>
        </is>
      </c>
      <c r="E15" s="56" t="inlineStr">
        <is>
          <t>feat(admin): cadastro nurse</t>
        </is>
      </c>
    </row>
    <row r="16" ht="15" customHeight="1" s="28">
      <c r="A16" s="55" t="inlineStr">
        <is>
          <t>14/04</t>
        </is>
      </c>
      <c r="B16" s="55" t="inlineStr">
        <is>
          <t>GEN-79</t>
        </is>
      </c>
      <c r="C16" s="56" t="inlineStr">
        <is>
          <t>Done</t>
        </is>
      </c>
      <c r="D16" s="56" t="inlineStr">
        <is>
          <t>PasswordInput com toggle mostrar/ocultar</t>
        </is>
      </c>
      <c r="E16" s="56" t="inlineStr">
        <is>
          <t>feat(ui): toggle senha</t>
        </is>
      </c>
    </row>
    <row r="17" ht="15" customHeight="1" s="28">
      <c r="A17" s="55" t="inlineStr">
        <is>
          <t>14/04</t>
        </is>
      </c>
      <c r="B17" s="55" t="inlineStr">
        <is>
          <t>—</t>
        </is>
      </c>
      <c r="C17" s="56" t="inlineStr">
        <is>
          <t>Fix</t>
        </is>
      </c>
      <c r="D17" s="56" t="inlineStr">
        <is>
          <t>Rules: permitir admin criar empresa (ownerUid)</t>
        </is>
      </c>
      <c r="E17" s="56" t="inlineStr">
        <is>
          <t>chore(rules)</t>
        </is>
      </c>
    </row>
    <row r="18" ht="15" customHeight="1" s="28">
      <c r="A18" s="55" t="inlineStr">
        <is>
          <t>14/04</t>
        </is>
      </c>
      <c r="B18" s="55" t="inlineStr">
        <is>
          <t>—</t>
        </is>
      </c>
      <c r="C18" s="56" t="inlineStr">
        <is>
          <t>Fix</t>
        </is>
      </c>
      <c r="D18" s="56" t="inlineStr">
        <is>
          <t>ShiftCheckinScreen: sai do loading sem empresaId</t>
        </is>
      </c>
      <c r="E18" s="56" t="inlineStr">
        <is>
          <t>fix(shift)</t>
        </is>
      </c>
    </row>
    <row r="19" ht="15" customHeight="1" s="28">
      <c r="A19" s="55" t="inlineStr">
        <is>
          <t>14/04</t>
        </is>
      </c>
      <c r="B19" s="55" t="inlineStr">
        <is>
          <t>GEN-75</t>
        </is>
      </c>
      <c r="C19" s="56" t="inlineStr">
        <is>
          <t>Start</t>
        </is>
      </c>
      <c r="D19" s="56" t="inlineStr">
        <is>
          <t>Mapear telas e navegação antes das features</t>
        </is>
      </c>
      <c r="E19" s="56" t="n"/>
    </row>
    <row r="20" ht="15" customHeight="1" s="28">
      <c r="A20" s="55" t="inlineStr">
        <is>
          <t>14/04</t>
        </is>
      </c>
      <c r="B20" s="55" t="inlineStr">
        <is>
          <t>—</t>
        </is>
      </c>
      <c r="C20" s="56" t="inlineStr">
        <is>
          <t>Decisão</t>
        </is>
      </c>
      <c r="D20" s="56" t="inlineStr">
        <is>
          <t>Reestruturar roadmap: telas primeiro, features depois</t>
        </is>
      </c>
      <c r="E20" s="56" t="n"/>
    </row>
    <row r="21">
      <c r="A21" s="27" t="inlineStr">
        <is>
          <t>14/04</t>
        </is>
      </c>
      <c r="B21" s="27" t="inlineStr">
        <is>
          <t>GEN-75</t>
        </is>
      </c>
      <c r="C21" s="27" t="inlineStr">
        <is>
          <t>Done</t>
        </is>
      </c>
      <c r="D21" s="27" t="inlineStr">
        <is>
          <t>docs/screens.md com mapa completo de 35 telas</t>
        </is>
      </c>
      <c r="E21" s="27" t="inlineStr"/>
    </row>
    <row r="22">
      <c r="A22" s="27" t="inlineStr">
        <is>
          <t>14/04</t>
        </is>
      </c>
      <c r="B22" s="27" t="inlineStr">
        <is>
          <t>T1-01~20</t>
        </is>
      </c>
      <c r="C22" s="27" t="inlineStr">
        <is>
          <t>Done</t>
        </is>
      </c>
      <c r="D22" s="27" t="inlineStr">
        <is>
          <t>25 esqueletos criados + SkeletonScreen + EmptyState</t>
        </is>
      </c>
      <c r="E22" s="27" t="inlineStr"/>
    </row>
    <row r="23">
      <c r="A23" s="27" t="inlineStr">
        <is>
          <t>14/04</t>
        </is>
      </c>
      <c r="B23" s="27" t="inlineStr">
        <is>
          <t>T1-20</t>
        </is>
      </c>
      <c r="C23" s="27" t="inlineStr">
        <is>
          <t>Done</t>
        </is>
      </c>
      <c r="D23" s="27" t="inlineStr">
        <is>
          <t>RootNavigator reescrito: 3 TabNavigators + 10 Stacks</t>
        </is>
      </c>
      <c r="E23" s="27" t="inlineStr"/>
    </row>
    <row r="24">
      <c r="A24" s="27" t="inlineStr">
        <is>
          <t>2026-04-14 15:03</t>
        </is>
      </c>
      <c r="B24" s="27" t="inlineStr">
        <is>
          <t>GEN-61</t>
        </is>
      </c>
      <c r="C24" s="27" t="inlineStr">
        <is>
          <t>Done</t>
        </is>
      </c>
      <c r="D24" s="27" t="inlineStr">
        <is>
          <t>Cadastro de pacientes pelo admin — patientService, CreatePatientScreen, PatientListScreen, AdminPatientDetailScreen implementados.</t>
        </is>
      </c>
    </row>
    <row r="25">
      <c r="A25" s="27" t="inlineStr">
        <is>
          <t>2026-04-14 15:33</t>
        </is>
      </c>
      <c r="B25" s="27" t="inlineStr">
        <is>
          <t>GEN-46</t>
        </is>
      </c>
      <c r="C25" s="27" t="inlineStr">
        <is>
          <t>Done</t>
        </is>
      </c>
      <c r="D25" s="27" t="inlineStr">
        <is>
          <t>NurseHomeScreen (lista pacientes), PatientDetailScreen (info + quick actions), NurseProfileScreen (dados + logout) implementados.</t>
        </is>
      </c>
    </row>
    <row r="26">
      <c r="A26" s="27" t="inlineStr">
        <is>
          <t>2026-04-14 15:39</t>
        </is>
      </c>
      <c r="B26" s="27" t="inlineStr">
        <is>
          <t>GEN-47/48/49</t>
        </is>
      </c>
      <c r="C26" s="27" t="inlineStr">
        <is>
          <t>Done</t>
        </is>
      </c>
      <c r="D26" s="27" t="inlineStr">
        <is>
          <t>RegisterMedicationScreen, RegisterVitalsScreen (com alertas fora da faixa), RegisterFeedingScreen + registroService implementados.</t>
        </is>
      </c>
    </row>
    <row r="27">
      <c r="A27" s="27" t="inlineStr">
        <is>
          <t>2026-04-16</t>
        </is>
      </c>
      <c r="B27" s="27" t="inlineStr">
        <is>
          <t>GEN-50/52/53</t>
        </is>
      </c>
      <c r="C27" s="27" t="inlineStr">
        <is>
          <t>Done</t>
        </is>
      </c>
      <c r="D27" s="27" t="inlineStr">
        <is>
          <t>RegisterActivityScreen, RegisterIncidentScreen, RegisterPhotoScreen implementados. Quick actions do PatientDetailScreen conectados à navegação real.</t>
        </is>
      </c>
    </row>
    <row r="28">
      <c r="A28" s="27" t="inlineStr">
        <is>
          <t>2026-04-16</t>
        </is>
      </c>
      <c r="B28" s="27" t="inlineStr">
        <is>
          <t>GEN-54</t>
        </is>
      </c>
      <c r="C28" s="27" t="inlineStr">
        <is>
          <t>Done</t>
        </is>
      </c>
      <c r="D28" s="27" t="inlineStr">
        <is>
          <t>ShiftEvolutionScreen (SBAR), evolucaoService, QuickRegisterScreen (hub de registros) implementados. Mock patients como fallback em 8 telas.</t>
        </is>
      </c>
    </row>
    <row r="29">
      <c r="A29" s="27" t="inlineStr">
        <is>
          <t>2026-04-16</t>
        </is>
      </c>
      <c r="B29" s="27" t="inlineStr">
        <is>
          <t>GEN-55/57/58</t>
        </is>
      </c>
      <c r="C29" s="27" t="inlineStr">
        <is>
          <t>Done</t>
        </is>
      </c>
      <c r="D29" s="27" t="inlineStr">
        <is>
          <t>Fase 3 Família: FamilyTimelineScreen (cards por hora, filtra foto clínica), PatientInfoScreen (ficha completa, link gráfico), HistoryFilterScreen (filtro por tipo), FamilyProfileScreen (dados + logout). evolucaoService criado.</t>
        </is>
      </c>
    </row>
    <row r="30">
      <c r="A30" s="27" t="inlineStr">
        <is>
          <t>2026-04-16</t>
        </is>
      </c>
      <c r="B30" s="27" t="inlineStr">
        <is>
          <t>GEN-59</t>
        </is>
      </c>
      <c r="C30" s="27" t="inlineStr">
        <is>
          <t>Done</t>
        </is>
      </c>
      <c r="D30" s="27" t="inlineStr">
        <is>
          <t>VitalsChartScreen: gráficos PA, FC, Temp, SpO₂ (react-native-chart-kit). Seletor de período 7/14/30 dias, mock data fallback, card última aferição, faixas normais do paciente.</t>
        </is>
      </c>
    </row>
    <row r="31">
      <c r="A31" s="27" t="inlineStr">
        <is>
          <t>2026-04-16</t>
        </is>
      </c>
      <c r="B31" s="27" t="inlineStr">
        <is>
          <t>GEN-60</t>
        </is>
      </c>
      <c r="C31" s="27" t="inlineStr">
        <is>
          <t>Done</t>
        </is>
      </c>
      <c r="D31" s="27" t="inlineStr">
        <is>
          <t>ExportReportScreen + reportHtmlBuilder: relatório PDF com seletor de paciente, período (7/14/30/90 dias), filtro por tipo de registro. HTML profissional com header, resumo, tabela de registros. Rota em NurseHomeStack e PatientMgmtStack. Botão "Exportar Relatório PDF" no PatientDetailScreen.</t>
        </is>
      </c>
    </row>
    <row r="32">
      <c r="A32" s="27" t="inlineStr">
        <is>
          <t>2026-04-16</t>
        </is>
      </c>
      <c r="B32" s="27" t="inlineStr">
        <is>
          <t>GEN-60/62</t>
        </is>
      </c>
      <c r="C32" s="27" t="inlineStr">
        <is>
          <t>Done</t>
        </is>
      </c>
      <c r="D32" s="27" t="inlineStr">
        <is>
          <t>ExportReportScreen (PDF com seletor paciente/período/tipo). CreateNurseScreen já implementado (405 linhas). reportHtmlBuilder com HTML profissional.</t>
        </is>
      </c>
    </row>
    <row r="33">
      <c r="A33" s="27" t="inlineStr">
        <is>
          <t>2026-04-16</t>
        </is>
      </c>
      <c r="B33" s="27" t="inlineStr">
        <is>
          <t>GEN-63/64/65/66</t>
        </is>
      </c>
      <c r="C33" s="27" t="inlineStr">
        <is>
          <t>Done</t>
        </is>
      </c>
      <c r="D33" s="27" t="inlineStr">
        <is>
          <t>Fase 4 Admin completa: LinkFamilyScreen (cria conta família + vincula paciente), AdminDashboardScreen (métricas Firestore: pacientes, profissionais, plantões, registros, intercorrências do dia), TeamListScreen (lista enfermeiros + status), NurseDetailScreen (perfil), ScheduleScreen (grade semanal com turnos), FinancialScreen (receita/despesa/saldo mensal). createFamilyAccount no adminUserService.</t>
        </is>
      </c>
    </row>
    <row r="34">
      <c r="A34" s="27" t="inlineStr">
        <is>
          <t>2026-04-16</t>
        </is>
      </c>
      <c r="B34" s="27" t="inlineStr">
        <is>
          <t>GEN-67/68</t>
        </is>
      </c>
      <c r="C34" s="27" t="inlineStr">
        <is>
          <t>Done</t>
        </is>
      </c>
      <c r="D34" s="27" t="inlineStr">
        <is>
          <t>GEN-67: Botão "Exportar PDF" na FinancialScreen (HTML profissional com receita/despesa/saldo + tabela lançamentos). GEN-68: Security Rules completas — validação de campos obrigatórios, família não vê fotoClinica, profissionalId == auth.uid nos creates, regra padrão deny-all, soft-delete (status), proteção contra escalação de role.</t>
        </is>
      </c>
    </row>
    <row r="35">
      <c r="A35" s="27" t="inlineStr">
        <is>
          <t>2026-04-16</t>
        </is>
      </c>
      <c r="B35" s="27" t="inlineStr">
        <is>
          <t>GEN-67–72</t>
        </is>
      </c>
      <c r="C35" s="27" t="inlineStr">
        <is>
          <t>Done</t>
        </is>
      </c>
      <c r="D35" s="27" t="inlineStr">
        <is>
          <t>Fase 5 parcial: GEN-67 export financeiro PDF, GEN-68 security rules completas (LGPD, deny-all, validação campos). GEN-70 LgpdConsentScreen (7 seções, scroll-to-end, salva consentAt no Firestore). GEN-71 auditService (buffer in-memory, preparado para Cloud Functions). GEN-72 tab bar icons (Ionicons) nos 3 perfis. Zero skeletons restantes no projeto.</t>
        </is>
      </c>
    </row>
    <row r="36">
      <c r="A36" s="27" t="inlineStr">
        <is>
          <t>2026-04-19</t>
        </is>
      </c>
      <c r="B36" s="27" t="inlineStr">
        <is>
          <t>GEN-51/56/73/74</t>
        </is>
      </c>
      <c r="C36" s="27" t="inlineStr">
        <is>
          <t>Done</t>
        </is>
      </c>
      <c r="D36" s="27" t="inlineStr">
        <is>
          <t>GEN-73: app.json completo (permissions iOS/Android, plugins, scheme, EAS config), eas.json (dev/preview/prod profiles, submit config). GEN-51: offlineQueue service (AsyncStorage, auto-retry 30s, max 5 retries, AppState listener, saveRecordWithFallback), useOfflineSync hook, integrado no App.tsx. GEN-56: notificationService (push token registration, Android channels, foreground handler, local scheduling), setupNotificationChannel e handlers no App.tsx. GEN-74: marcado Done (app pronto para teste com usuários).</t>
        </is>
      </c>
    </row>
    <row r="37">
      <c r="A37" s="27" t="inlineStr">
        <is>
          <t>2026-04-19</t>
        </is>
      </c>
      <c r="B37" s="27" t="inlineStr">
        <is>
          <t>GEN-56</t>
        </is>
      </c>
      <c r="C37" s="27" t="inlineStr">
        <is>
          <t>Blocked</t>
        </is>
      </c>
      <c r="D37" s="27" t="inlineStr">
        <is>
          <t>Push notifications: código pronto (notificationService.ts) mas Blocked — precisa Apple Developer Program pago para testar. Dynamic require garante que não quebra sem o pacote.</t>
        </is>
      </c>
    </row>
  </sheetData>
  <autoFilter ref="A3:E20"/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F4444"/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27" min="1" max="1"/>
    <col width="80" customWidth="1" style="27" min="2" max="2"/>
  </cols>
  <sheetData>
    <row r="1" ht="39.75" customHeight="1" s="28">
      <c r="A1" s="49" t="inlineStr">
        <is>
          <t>Regras de Operação</t>
        </is>
      </c>
    </row>
    <row r="3" ht="30" customHeight="1" s="28">
      <c r="A3" s="31" t="inlineStr">
        <is>
          <t>#</t>
        </is>
      </c>
      <c r="B3" s="31" t="inlineStr">
        <is>
          <t>Regra</t>
        </is>
      </c>
    </row>
    <row r="4" ht="24" customHeight="1" s="28">
      <c r="A4" s="55" t="inlineStr">
        <is>
          <t>1</t>
        </is>
      </c>
      <c r="B4" s="56" t="inlineStr">
        <is>
          <t>Analisar código existente antes de qualquer alteração</t>
        </is>
      </c>
    </row>
    <row r="5" ht="24" customHeight="1" s="28">
      <c r="A5" s="55" t="inlineStr">
        <is>
          <t>2</t>
        </is>
      </c>
      <c r="B5" s="56" t="inlineStr">
        <is>
          <t>Verificar implementações existentes para evitar duplicação</t>
        </is>
      </c>
    </row>
    <row r="6" ht="24" customHeight="1" s="28">
      <c r="A6" s="55" t="inlineStr">
        <is>
          <t>3</t>
        </is>
      </c>
      <c r="B6" s="56" t="inlineStr">
        <is>
          <t>Seguir princípios Clean Code (separação de camadas, responsabilidade única)</t>
        </is>
      </c>
    </row>
    <row r="7" ht="24" customHeight="1" s="28">
      <c r="A7" s="55" t="inlineStr">
        <is>
          <t>4</t>
        </is>
      </c>
      <c r="B7" s="56" t="inlineStr">
        <is>
          <t>Design Apple-like (Apple HIG: botões no rodapé, inline errors, focus states)</t>
        </is>
      </c>
    </row>
    <row r="8" ht="24" customHeight="1" s="28">
      <c r="A8" s="55" t="inlineStr">
        <is>
          <t>5</t>
        </is>
      </c>
      <c r="B8" s="56" t="inlineStr">
        <is>
          <t>Pesquisar na internet antes de tomar decisões técnicas</t>
        </is>
      </c>
    </row>
    <row r="9" ht="24" customHeight="1" s="28">
      <c r="A9" s="55" t="inlineStr">
        <is>
          <t>6</t>
        </is>
      </c>
      <c r="B9" s="56" t="inlineStr">
        <is>
          <t>Segurança primeiro, LGPD-compliant, nunca expor dados sensíveis</t>
        </is>
      </c>
    </row>
    <row r="10" ht="24" customHeight="1" s="28">
      <c r="A10" s="55" t="inlineStr">
        <is>
          <t>7</t>
        </is>
      </c>
      <c r="B10" s="56" t="inlineStr">
        <is>
          <t>Nunca tentar resolver erros novos sem antes pesquisar na internet</t>
        </is>
      </c>
    </row>
    <row r="11" ht="24" customHeight="1" s="28">
      <c r="A11" s="55" t="inlineStr">
        <is>
          <t>8</t>
        </is>
      </c>
      <c r="B11" s="56" t="inlineStr">
        <is>
          <t>Toda issue completada deve ser marcada como Done imediatamente</t>
        </is>
      </c>
    </row>
    <row r="12" ht="24" customHeight="1" s="28">
      <c r="A12" s="55" t="inlineStr">
        <is>
          <t>9</t>
        </is>
      </c>
      <c r="B12" s="56" t="inlineStr">
        <is>
          <t>Toda decisão de escopo/prioridade deve virar issue no board</t>
        </is>
      </c>
    </row>
    <row r="13" ht="24" customHeight="1" s="28">
      <c r="A13" s="55" t="inlineStr">
        <is>
          <t>10</t>
        </is>
      </c>
      <c r="B13" s="56" t="inlineStr">
        <is>
          <t>Toda mudança que toca Firestore: verificar rules e avisar se precisa deploy</t>
        </is>
      </c>
    </row>
    <row r="14" ht="24" customHeight="1" s="28">
      <c r="A14" s="55" t="inlineStr">
        <is>
          <t>11</t>
        </is>
      </c>
      <c r="B14" s="56" t="inlineStr">
        <is>
          <t>Telas e navegação primeiro, features depois (Fase 1 antes de tudo)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2026-04-14T15:03:38Z</dcterms:created>
  <dcterms:modified xmlns:dcterms="http://purl.org/dc/terms/" xmlns:xsi="http://www.w3.org/2001/XMLSchema-instance" xsi:type="dcterms:W3CDTF">2026-04-19T20:00:17Z</dcterms:modified>
  <cp:revision>0</cp:revision>
</cp:coreProperties>
</file>